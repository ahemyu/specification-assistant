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xl/drawings/drawing1.xml" ContentType="application/vnd.openxmlformats-officedocument.drawing+xml"/>
  <Override PartName="/xl/theme/theme1.xml" ContentType="application/vnd.openxmlformats-officedocument.theme+xml"/>
  <Override PartName="/xl/styles.xml" ContentType="application/vnd.openxmlformats-officedocument.spreadsheetml.styles+xml"/>
  <Override PartName="/xl/vbaProject.bin" ContentType="application/vnd.ms-office.vbaProject"/>
  <Override PartName="/xl/worksheets/sheet1.xml" ContentType="application/vnd.openxmlformats-officedocument.spreadsheetml.worksheet+xml"/>
  <Override PartName="/xl/worksheets/sheet2.xml" ContentType="application/vnd.openxmlformats-officedocument.spreadsheetml.worksheet+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29.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externalLinks/externalLink1.xml" ContentType="application/vnd.openxmlformats-officedocument.spreadsheetml.externalLink+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omments1.xml" ContentType="application/vnd.openxmlformats-officedocument.spreadsheetml.comments+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ctrlProps/ctrlProp192.xml" ContentType="application/vnd.ms-excel.controlproperties+xml"/>
  <Override PartName="/xl/externalLinks/externalLink4.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omments2.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comments3.xml" ContentType="application/vnd.openxmlformats-officedocument.spreadsheetml.comments+xml"/>
  <Override PartName="/xl/ctrlProps/ctrlProp3.xml" ContentType="application/vnd.ms-excel.controlproperties+xml"/>
  <Override PartName="/xl/ctrlProps/ctrlProp4.xml" ContentType="application/vnd.ms-excel.controlproperties+xml"/>
  <Override PartName="/xl/comments4.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ctrlProps/ctrlProp5.xml" ContentType="application/vnd.ms-excel.contro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301.xml" ContentType="application/vnd.ms-excel.contro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showInkAnnotation="0" updateLinks="never" codeName="DieseArbeitsmappe" defaultThemeVersion="124226"/>
  <mc:AlternateContent xmlns:mc="http://schemas.openxmlformats.org/markup-compatibility/2006">
    <mc:Choice Requires="x15">
      <x15ac:absPath xmlns:x15ac="http://schemas.microsoft.com/office/spreadsheetml/2010/11/ac" url="J:\200 Auftragsmanagement\Aufträge\Kundenaufträge\2409000014\2409000014_20\"/>
    </mc:Choice>
  </mc:AlternateContent>
  <xr:revisionPtr revIDLastSave="0" documentId="13_ncr:1_{8676F5FD-AE6D-4D61-9F05-F2EA8D513C03}" xr6:coauthVersionLast="47" xr6:coauthVersionMax="47" xr10:uidLastSave="{00000000-0000-0000-0000-000000000000}"/>
  <bookViews>
    <workbookView xWindow="28680" yWindow="-120" windowWidth="29040" windowHeight="17520" xr2:uid="{00000000-000D-0000-FFFF-FFFF00000000}"/>
  </bookViews>
  <sheets>
    <sheet name="DB GIF" sheetId="1" r:id="rId1"/>
    <sheet name="Angebotsdatnblatt VCG" sheetId="10" r:id="rId2"/>
    <sheet name="Angebotsdatenblatt VTG" sheetId="12" r:id="rId3"/>
    <sheet name="Angebotsdatenblatt CTG" sheetId="11" r:id="rId4"/>
    <sheet name="DB-Versionen" sheetId="7" state="hidden" r:id="rId5"/>
    <sheet name="Revisionen" sheetId="6" state="hidden" r:id="rId6"/>
    <sheet name="Auswahlfelder" sheetId="2" state="hidden" r:id="rId7"/>
    <sheet name="Modellliste" sheetId="3" state="hidden" r:id="rId8"/>
    <sheet name="Isolatoren" sheetId="4" state="hidden" r:id="rId9"/>
    <sheet name="bedingte Auswahlfelder" sheetId="5" state="hidden" r:id="rId10"/>
    <sheet name="Translation" sheetId="9" state="hidden" r:id="rId11"/>
  </sheets>
  <externalReferences>
    <externalReference r:id="rId12"/>
    <externalReference r:id="rId13"/>
    <externalReference r:id="rId14"/>
    <externalReference r:id="rId15"/>
  </externalReferences>
  <definedNames>
    <definedName name="_xlnm._FilterDatabase" localSheetId="0" hidden="1">'DB GIF'!$A$107:$K$142</definedName>
    <definedName name="_xlnm._FilterDatabase" localSheetId="7" hidden="1">Modellliste!$A$1:$J$360</definedName>
    <definedName name="A">Auswahlfelder!$G$60:$G$65</definedName>
    <definedName name="Analogsignal">Auswahlfelder!$H$21:$H$24</definedName>
    <definedName name="Antwort_J">Auswahlfelder!$H$15:$H$16</definedName>
    <definedName name="Antwort_N">Auswahlfelder!$G$15:$G$16</definedName>
    <definedName name="Anzahl">Auswahlfelder!$G$31:$G$36</definedName>
    <definedName name="Art_DW_Kontakte">Auswahlfelder!$F$15:$F$17</definedName>
    <definedName name="Auftraggeber">Auswahlfelder!$I$25:$I$58</definedName>
    <definedName name="B">Auswahlfelder!$H$60:$H$69</definedName>
    <definedName name="Beilage">Auswahlfelder!$E$32:$E$38</definedName>
    <definedName name="Betriebsspannung">'bedingte Auswahlfelder'!$Y$2:$AL$2</definedName>
    <definedName name="BI">Auswahlfelder!$E$40:$E$42</definedName>
    <definedName name="Biege">Auswahlfelder!$J$59:$J$62</definedName>
    <definedName name="Biegefestigkeit">'bedingte Auswahlfelder'!$AO$3:$AO$9</definedName>
    <definedName name="BIL">'bedingte Auswahlfelder'!$X$3:$X$5</definedName>
    <definedName name="Bürden">'bedingte Auswahlfelder'!$N$28:$N$34</definedName>
    <definedName name="Chopp">Auswahlfelder!$E$44:$E$46</definedName>
    <definedName name="Chopped">Auswahlfelder!$G$2:$G$16</definedName>
    <definedName name="D">Auswahlfelder!$I$60:$I$66</definedName>
    <definedName name="Dichtewächter">Auswahlfelder!$J$15:$J$17</definedName>
    <definedName name="Druckangabe_LS">Auswahlfelder!$L$2:$L$7</definedName>
    <definedName name="Druckbehälter">Auswahlfelder!$G$21:$G$27</definedName>
    <definedName name="_xlnm.Print_Area" localSheetId="0">'DB GIF'!$A$1:$K$160</definedName>
    <definedName name="_xlnm.Print_Titles" localSheetId="0">'DB GIF'!$10:$10</definedName>
    <definedName name="Druckventil">Auswahlfelder!$D$24:$D$27</definedName>
    <definedName name="DW_Hersteller">Auswahlfelder!$E$15:$E$21</definedName>
    <definedName name="Eichung">Auswahlfelder!$O$2:$O$9</definedName>
    <definedName name="Endkunden">Auswahlfelder!$J$25:$J$40</definedName>
    <definedName name="Erdung">Auswahlfelder!$L$18:$L$20</definedName>
    <definedName name="Erdungsanschluß">Auswahlfelder!$N$2:$N$13</definedName>
    <definedName name="Farbe">Auswahlfelder!$Q$2:$Q$59</definedName>
    <definedName name="Farben">Auswahlfelder!$N$2:$N$10</definedName>
    <definedName name="Frequenz">Auswahlfelder!$D$19:$D$22</definedName>
    <definedName name="Fülldrücke">Auswahlfelder!$I$2:$I$13</definedName>
    <definedName name="Genuigkeitsklassen_Kerne">'bedingte Auswahlfelder'!$N$3:$N$22</definedName>
    <definedName name="GroßX">Auswahlfelder!$N$39:$N$42</definedName>
    <definedName name="Gruppe">'bedingte Auswahlfelder'!$C$2:$L$2</definedName>
    <definedName name="Hilfsschalter">Auswahlfelder!$H$34:$H$36</definedName>
    <definedName name="Isolatorhersteller">Auswahlfelder!$M$43:$M$54</definedName>
    <definedName name="Kabelverschraubungen">Auswahlfelder!$H$37:$H$39</definedName>
    <definedName name="Kali">Auswahlfelder!$E$50:$E$54</definedName>
    <definedName name="Klemmen">Auswahlfelder!$N$15:$N$28</definedName>
    <definedName name="Klemmen_DW">Auswahlfelder!$M$31:$M$41</definedName>
    <definedName name="Klemmenkastenart">Auswahlfelder!$H$26:$H$28</definedName>
    <definedName name="Klemmentyp">Auswahlfelder!$M$15:$M$29</definedName>
    <definedName name="Kriechweg_err">Auswahlfelder!$C$31</definedName>
    <definedName name="Kunde">Auswahlfelder!$J$25:$J$58</definedName>
    <definedName name="Kundenforderung">Auswahlfelder!#REF!</definedName>
    <definedName name="Länder">Auswahlfelder!$K$25:$K$48</definedName>
    <definedName name="LS">Auswahlfelder!$I$21:$I$23</definedName>
    <definedName name="Material">Auswahlfelder!$O$11:$O$15</definedName>
    <definedName name="Meßbereich">'bedingte Auswahlfelder'!$N$49:$N$55</definedName>
    <definedName name="Modelle">'bedingte Auswahlfelder'!$B$3:$B$474</definedName>
    <definedName name="Modellliste">Modellliste!$A$2:$J$360</definedName>
    <definedName name="Negativ">Auswahlfelder!$G$49:$G$58</definedName>
    <definedName name="Neigung">Auswahlfelder!$H$41:$H$47</definedName>
    <definedName name="Norm">Auswahlfelder!$A$18:$A$36</definedName>
    <definedName name="Norm_Genauigkeitsklasse">'bedingte Auswahlfelder'!$O$2:$Q$2</definedName>
    <definedName name="Normen">Auswahlfelder!$A$18:$A$36</definedName>
    <definedName name="Oberfläche">Auswahlfelder!$M$2:$M$9</definedName>
    <definedName name="Oberflächenschutz">Auswahlfelder!$M$2:$M$7</definedName>
    <definedName name="p.a.">Auswahlfelder!$N$33:$N$35</definedName>
    <definedName name="Position">Auswahlfelder!$F$32:$F$61</definedName>
    <definedName name="Positiv">Auswahlfelder!$H$49:$H$58</definedName>
    <definedName name="Primär">Auswahlfelder!$N$15:$N$26</definedName>
    <definedName name="Primäranschluß">Auswahlfelder!$N$44:$N$51</definedName>
    <definedName name="Produkts">Auswahlfelder!$N$43:$N$49</definedName>
    <definedName name="Produktsicherheit">[1]Auswahlfelder!$N$38:$N$45</definedName>
    <definedName name="Projektkategorie">Auswahlfelder!$A$2:$A$8</definedName>
    <definedName name="Prüfwechselsannung_sek">Auswahlfelder!$A$10:$A$14</definedName>
    <definedName name="Prüfwechselspannung">Auswahlfelder!$D$2:$D$16</definedName>
    <definedName name="Schaltkontakte">Auswahlfelder!$I$15:$I$17</definedName>
    <definedName name="Schlagweite">'bedingte Auswahlfelder'!$X$22:$X$24</definedName>
    <definedName name="sek_strom">'bedingte Auswahlfelder'!$N$39:$N$44</definedName>
    <definedName name="SF6_Anteil">Auswahlfelder!$K$15:$K$22</definedName>
    <definedName name="Sicherungen">Auswahlfelder!$H$30:$H$33</definedName>
    <definedName name="SIL">'bedingte Auswahlfelder'!$X$9:$X$11</definedName>
    <definedName name="Sprachen">Auswahlfelder!$L$25:$L$40</definedName>
    <definedName name="Stehwechsel">'bedingte Auswahlfelder'!$X$15:$X$17</definedName>
    <definedName name="Stoßzahl">Auswahlfelder!$H$49:$H$58</definedName>
    <definedName name="Umschaltung">Auswahlfelder!$P$3:$P$9</definedName>
    <definedName name="Verschaltun">Auswahlfelder!$E$59:$E$62</definedName>
    <definedName name="Verschmutzungklasse">Auswahlfelder!$B$19:$B$27</definedName>
    <definedName name="X">Auswahlfelder!$N$39:$N$41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70" i="3" l="1"/>
  <c r="J69" i="3"/>
  <c r="J68" i="3"/>
  <c r="E3" i="1"/>
  <c r="B27" i="3"/>
  <c r="B22" i="3"/>
  <c r="B19" i="3"/>
  <c r="J19" i="3"/>
  <c r="B13" i="3"/>
  <c r="C69" i="11"/>
  <c r="D69" i="11"/>
  <c r="E69" i="11"/>
  <c r="F69" i="11"/>
  <c r="G69" i="11"/>
  <c r="H69" i="11"/>
  <c r="C70" i="11"/>
  <c r="D70" i="11"/>
  <c r="E70" i="11"/>
  <c r="F70" i="11"/>
  <c r="G70" i="11"/>
  <c r="H70" i="11"/>
  <c r="C71" i="11"/>
  <c r="D71" i="11"/>
  <c r="E71" i="11"/>
  <c r="F71" i="11"/>
  <c r="G71" i="11"/>
  <c r="H71" i="11"/>
  <c r="B71" i="11"/>
  <c r="B70" i="11"/>
  <c r="B69" i="11"/>
  <c r="C88" i="10"/>
  <c r="D88" i="10"/>
  <c r="E88" i="10"/>
  <c r="F88" i="10"/>
  <c r="G88" i="10"/>
  <c r="H88" i="10"/>
  <c r="C89" i="10"/>
  <c r="D89" i="10"/>
  <c r="E89" i="10"/>
  <c r="F89" i="10"/>
  <c r="G89" i="10"/>
  <c r="H89" i="10"/>
  <c r="C90" i="10"/>
  <c r="D90" i="10"/>
  <c r="E90" i="10"/>
  <c r="F90" i="10"/>
  <c r="G90" i="10"/>
  <c r="H90" i="10"/>
  <c r="B90" i="10"/>
  <c r="B89" i="10"/>
  <c r="B88" i="10"/>
  <c r="C60" i="11"/>
  <c r="D60" i="11"/>
  <c r="E60" i="11"/>
  <c r="F60" i="11"/>
  <c r="G60" i="11"/>
  <c r="H60" i="11"/>
  <c r="C61" i="11"/>
  <c r="D61" i="11"/>
  <c r="E61" i="11"/>
  <c r="F61" i="11"/>
  <c r="G61" i="11"/>
  <c r="H61" i="11"/>
  <c r="C62" i="11"/>
  <c r="D62" i="11"/>
  <c r="E62" i="11"/>
  <c r="F62" i="11"/>
  <c r="G62" i="11"/>
  <c r="H62" i="11"/>
  <c r="C63" i="11"/>
  <c r="D63" i="11"/>
  <c r="E63" i="11"/>
  <c r="F63" i="11"/>
  <c r="G63" i="11"/>
  <c r="H63" i="11"/>
  <c r="C64" i="11"/>
  <c r="D64" i="11"/>
  <c r="E64" i="11"/>
  <c r="F64" i="11"/>
  <c r="G64" i="11"/>
  <c r="H64" i="11"/>
  <c r="C65" i="11"/>
  <c r="D65" i="11"/>
  <c r="E65" i="11"/>
  <c r="F65" i="11"/>
  <c r="G65" i="11"/>
  <c r="H65" i="11"/>
  <c r="C66" i="11"/>
  <c r="D66" i="11"/>
  <c r="E66" i="11"/>
  <c r="F66" i="11"/>
  <c r="G66" i="11"/>
  <c r="H66" i="11"/>
  <c r="C67" i="11"/>
  <c r="D67" i="11"/>
  <c r="E67" i="11"/>
  <c r="F67" i="11"/>
  <c r="G67" i="11"/>
  <c r="H67" i="11"/>
  <c r="C68" i="11"/>
  <c r="D68" i="11"/>
  <c r="E68" i="11"/>
  <c r="F68" i="11"/>
  <c r="G68" i="11"/>
  <c r="H68" i="11"/>
  <c r="C72" i="11"/>
  <c r="D72" i="11"/>
  <c r="E72" i="11"/>
  <c r="F72" i="11"/>
  <c r="G72" i="11"/>
  <c r="H72" i="11"/>
  <c r="B72" i="11"/>
  <c r="B68" i="11"/>
  <c r="B67" i="11"/>
  <c r="B66" i="11"/>
  <c r="B65" i="11"/>
  <c r="B64" i="11"/>
  <c r="B63" i="11"/>
  <c r="B62" i="11"/>
  <c r="B61" i="11"/>
  <c r="B60" i="11"/>
  <c r="B79" i="10"/>
  <c r="C91" i="10"/>
  <c r="D91" i="10"/>
  <c r="E91" i="10"/>
  <c r="F91" i="10"/>
  <c r="G91" i="10"/>
  <c r="H91" i="10"/>
  <c r="B91" i="10"/>
  <c r="C87" i="10"/>
  <c r="D87" i="10"/>
  <c r="E87" i="10"/>
  <c r="F87" i="10"/>
  <c r="G87" i="10"/>
  <c r="H87" i="10"/>
  <c r="C86" i="10"/>
  <c r="D86" i="10"/>
  <c r="E86" i="10"/>
  <c r="F86" i="10"/>
  <c r="G86" i="10"/>
  <c r="H86" i="10"/>
  <c r="C85" i="10"/>
  <c r="D85" i="10"/>
  <c r="E85" i="10"/>
  <c r="F85" i="10"/>
  <c r="G85" i="10"/>
  <c r="H85" i="10"/>
  <c r="B85" i="10"/>
  <c r="C84" i="10"/>
  <c r="D84" i="10"/>
  <c r="E84" i="10"/>
  <c r="F84" i="10"/>
  <c r="G84" i="10"/>
  <c r="H84" i="10"/>
  <c r="C83" i="10"/>
  <c r="D83" i="10"/>
  <c r="E83" i="10"/>
  <c r="F83" i="10"/>
  <c r="G83" i="10"/>
  <c r="H83" i="10"/>
  <c r="C82" i="10"/>
  <c r="D82" i="10"/>
  <c r="E82" i="10"/>
  <c r="F82" i="10"/>
  <c r="G82" i="10"/>
  <c r="H82" i="10"/>
  <c r="C81" i="10"/>
  <c r="D81" i="10"/>
  <c r="E81" i="10"/>
  <c r="F81" i="10"/>
  <c r="G81" i="10"/>
  <c r="H81" i="10"/>
  <c r="C80" i="10"/>
  <c r="D80" i="10"/>
  <c r="E80" i="10"/>
  <c r="F80" i="10"/>
  <c r="G80" i="10"/>
  <c r="H80" i="10"/>
  <c r="C79" i="10"/>
  <c r="D79" i="10"/>
  <c r="E79" i="10"/>
  <c r="F79" i="10"/>
  <c r="G79" i="10"/>
  <c r="H79" i="10"/>
  <c r="B84" i="10"/>
  <c r="B83" i="10"/>
  <c r="B81" i="10"/>
  <c r="B80" i="10"/>
  <c r="F21" i="10"/>
  <c r="A139" i="10"/>
  <c r="A117" i="12"/>
  <c r="A119" i="11"/>
  <c r="D99" i="12"/>
  <c r="E96" i="12"/>
  <c r="D95" i="12"/>
  <c r="D94" i="12"/>
  <c r="E93" i="12"/>
  <c r="D93" i="12"/>
  <c r="D92" i="12"/>
  <c r="D91" i="12"/>
  <c r="D90" i="12"/>
  <c r="D89" i="12"/>
  <c r="E88" i="12"/>
  <c r="E87" i="12"/>
  <c r="D86" i="12"/>
  <c r="G85" i="12"/>
  <c r="D85" i="12"/>
  <c r="D84" i="12"/>
  <c r="D83" i="12"/>
  <c r="E82" i="12" a="1"/>
  <c r="E82" i="12" s="1"/>
  <c r="D82" i="12"/>
  <c r="D81" i="12"/>
  <c r="E79" i="12"/>
  <c r="D79" i="12"/>
  <c r="D77" i="12"/>
  <c r="D76" i="12"/>
  <c r="A70" i="12"/>
  <c r="G68" i="12"/>
  <c r="F68" i="12"/>
  <c r="E68" i="12"/>
  <c r="D68" i="12"/>
  <c r="C68" i="12"/>
  <c r="B68" i="12"/>
  <c r="G67" i="12"/>
  <c r="F67" i="12"/>
  <c r="E67" i="12"/>
  <c r="D67" i="12"/>
  <c r="C67" i="12"/>
  <c r="B67" i="12"/>
  <c r="G66" i="12"/>
  <c r="F66" i="12"/>
  <c r="E66" i="12"/>
  <c r="D66" i="12"/>
  <c r="C66" i="12"/>
  <c r="B66" i="12"/>
  <c r="G65" i="12"/>
  <c r="F65" i="12"/>
  <c r="E65" i="12"/>
  <c r="D65" i="12"/>
  <c r="C65" i="12"/>
  <c r="B65" i="12"/>
  <c r="G64" i="12"/>
  <c r="F64" i="12"/>
  <c r="E64" i="12"/>
  <c r="D64" i="12"/>
  <c r="C64" i="12"/>
  <c r="B64" i="12"/>
  <c r="G63" i="12"/>
  <c r="F63" i="12"/>
  <c r="E63" i="12"/>
  <c r="D63" i="12"/>
  <c r="C63" i="12"/>
  <c r="B63" i="12"/>
  <c r="G62" i="12"/>
  <c r="F62" i="12"/>
  <c r="E62" i="12"/>
  <c r="D62" i="12"/>
  <c r="C62" i="12"/>
  <c r="B62" i="12"/>
  <c r="F56" i="12"/>
  <c r="F55" i="12"/>
  <c r="F54" i="12"/>
  <c r="F53" i="12"/>
  <c r="F43" i="12"/>
  <c r="F36" i="12"/>
  <c r="F35" i="12"/>
  <c r="F34" i="12"/>
  <c r="F33" i="12"/>
  <c r="F32" i="12"/>
  <c r="F31" i="12"/>
  <c r="F30" i="12"/>
  <c r="F29" i="12"/>
  <c r="A25" i="12"/>
  <c r="F23" i="12"/>
  <c r="F22" i="12"/>
  <c r="F21" i="12"/>
  <c r="F17" i="12"/>
  <c r="F16" i="12"/>
  <c r="F15" i="12"/>
  <c r="F11" i="12"/>
  <c r="F10" i="12"/>
  <c r="C7" i="12"/>
  <c r="E6" i="12"/>
  <c r="C5" i="12"/>
  <c r="C4" i="12"/>
  <c r="D124" i="10"/>
  <c r="D123" i="10"/>
  <c r="E122" i="10"/>
  <c r="D122" i="10"/>
  <c r="D121" i="10"/>
  <c r="D105" i="11"/>
  <c r="E102" i="11"/>
  <c r="D97" i="11"/>
  <c r="D96" i="11"/>
  <c r="D95" i="11"/>
  <c r="E94" i="11"/>
  <c r="E93" i="11"/>
  <c r="D92" i="11"/>
  <c r="G91" i="11"/>
  <c r="D91" i="11"/>
  <c r="D90" i="11"/>
  <c r="D89" i="11"/>
  <c r="E88" i="11" a="1"/>
  <c r="E88" i="11" s="1"/>
  <c r="D88" i="11"/>
  <c r="D87" i="11"/>
  <c r="E85" i="11"/>
  <c r="D85" i="11"/>
  <c r="D83" i="11"/>
  <c r="D82" i="11"/>
  <c r="A76" i="11"/>
  <c r="D57" i="11"/>
  <c r="D53" i="11"/>
  <c r="D52" i="11"/>
  <c r="D51" i="11"/>
  <c r="F43" i="11"/>
  <c r="F36" i="11"/>
  <c r="F35" i="11"/>
  <c r="F34" i="11"/>
  <c r="F33" i="11"/>
  <c r="F32" i="11"/>
  <c r="F31" i="11"/>
  <c r="F30" i="11"/>
  <c r="F29" i="11"/>
  <c r="A25" i="11"/>
  <c r="F23" i="11"/>
  <c r="F22" i="11"/>
  <c r="F21" i="11"/>
  <c r="F17" i="11"/>
  <c r="F16" i="11"/>
  <c r="F15" i="11"/>
  <c r="F11" i="11"/>
  <c r="F10" i="11"/>
  <c r="C7" i="11"/>
  <c r="E6" i="11"/>
  <c r="C5" i="11"/>
  <c r="C4" i="11"/>
  <c r="D128" i="10"/>
  <c r="A25" i="10"/>
  <c r="D119" i="10"/>
  <c r="D120" i="10"/>
  <c r="D118" i="10"/>
  <c r="E117" i="10"/>
  <c r="E116" i="10"/>
  <c r="D115" i="10"/>
  <c r="E108" i="10"/>
  <c r="D108" i="10"/>
  <c r="D110" i="10"/>
  <c r="G114" i="10"/>
  <c r="D114" i="10"/>
  <c r="D113" i="10"/>
  <c r="D112" i="10"/>
  <c r="E111" i="10" a="1"/>
  <c r="E111" i="10" s="1"/>
  <c r="D111" i="10"/>
  <c r="D106" i="10"/>
  <c r="D105" i="10"/>
  <c r="D76" i="10"/>
  <c r="D75" i="10"/>
  <c r="D74" i="10"/>
  <c r="D73" i="10"/>
  <c r="A99" i="10"/>
  <c r="B87" i="10"/>
  <c r="B86" i="10"/>
  <c r="B82" i="10"/>
  <c r="A68" i="10"/>
  <c r="C65" i="10"/>
  <c r="D65" i="10"/>
  <c r="E65" i="10"/>
  <c r="F65" i="10"/>
  <c r="G65" i="10"/>
  <c r="B65" i="10"/>
  <c r="C64" i="10"/>
  <c r="D64" i="10"/>
  <c r="E64" i="10"/>
  <c r="F64" i="10"/>
  <c r="G64" i="10"/>
  <c r="B64" i="10"/>
  <c r="C63" i="10"/>
  <c r="D63" i="10"/>
  <c r="E63" i="10"/>
  <c r="F63" i="10"/>
  <c r="G63" i="10"/>
  <c r="B63" i="10"/>
  <c r="C62" i="10"/>
  <c r="D62" i="10"/>
  <c r="E62" i="10"/>
  <c r="F62" i="10"/>
  <c r="G62" i="10"/>
  <c r="B62" i="10"/>
  <c r="C61" i="10"/>
  <c r="D61" i="10"/>
  <c r="E61" i="10"/>
  <c r="F61" i="10"/>
  <c r="G61" i="10"/>
  <c r="B61" i="10"/>
  <c r="C60" i="10"/>
  <c r="D60" i="10"/>
  <c r="E60" i="10"/>
  <c r="F60" i="10"/>
  <c r="G60" i="10"/>
  <c r="B60" i="10"/>
  <c r="F57" i="10"/>
  <c r="E6" i="10"/>
  <c r="F53" i="10"/>
  <c r="F52" i="10"/>
  <c r="F51" i="10"/>
  <c r="F44" i="1" a="1"/>
  <c r="F44" i="1" s="1"/>
  <c r="F43" i="10"/>
  <c r="F36" i="10"/>
  <c r="F35" i="10"/>
  <c r="F34" i="10"/>
  <c r="F33" i="10"/>
  <c r="F32" i="10"/>
  <c r="F31" i="10"/>
  <c r="F30" i="10"/>
  <c r="F29" i="10"/>
  <c r="F23" i="10"/>
  <c r="F22" i="10"/>
  <c r="F17" i="10"/>
  <c r="F15" i="10"/>
  <c r="F16" i="10"/>
  <c r="F11" i="10"/>
  <c r="F10" i="10"/>
  <c r="C7" i="10"/>
  <c r="C5" i="10"/>
  <c r="C4" i="10"/>
  <c r="E125" i="10"/>
  <c r="G66" i="10"/>
  <c r="F66" i="10"/>
  <c r="E66" i="10"/>
  <c r="D66" i="10"/>
  <c r="C66" i="10"/>
  <c r="B66" i="10"/>
  <c r="G116" i="1" l="1"/>
  <c r="G108" i="1"/>
  <c r="J35" i="3"/>
  <c r="B35" i="3"/>
  <c r="J40" i="3"/>
  <c r="B40" i="3"/>
  <c r="J357" i="3"/>
  <c r="B357" i="3"/>
  <c r="J356" i="3"/>
  <c r="B356" i="3"/>
  <c r="J355" i="3"/>
  <c r="B355" i="3"/>
  <c r="J354" i="3"/>
  <c r="B354" i="3"/>
  <c r="J353" i="3"/>
  <c r="B353" i="3"/>
  <c r="J352" i="3"/>
  <c r="B352" i="3"/>
  <c r="J351" i="3"/>
  <c r="B351" i="3"/>
  <c r="J350" i="3"/>
  <c r="B350" i="3"/>
  <c r="J349" i="3"/>
  <c r="B349" i="3"/>
  <c r="J348" i="3"/>
  <c r="B348" i="3"/>
  <c r="J347" i="3"/>
  <c r="B347" i="3"/>
  <c r="J346" i="3"/>
  <c r="B346" i="3"/>
  <c r="J345" i="3"/>
  <c r="B345" i="3"/>
  <c r="J344" i="3"/>
  <c r="B344" i="3"/>
  <c r="J343" i="3"/>
  <c r="B343" i="3"/>
  <c r="J342" i="3"/>
  <c r="B342" i="3"/>
  <c r="J341" i="3"/>
  <c r="B341" i="3"/>
  <c r="J340" i="3"/>
  <c r="B340" i="3"/>
  <c r="J339" i="3"/>
  <c r="B339" i="3"/>
  <c r="J338" i="3"/>
  <c r="B338" i="3"/>
  <c r="J337" i="3"/>
  <c r="B337" i="3"/>
  <c r="J336" i="3"/>
  <c r="B336" i="3"/>
  <c r="J335" i="3"/>
  <c r="B335" i="3"/>
  <c r="J334" i="3"/>
  <c r="B334" i="3"/>
  <c r="J333" i="3"/>
  <c r="B333" i="3"/>
  <c r="J332" i="3"/>
  <c r="B332" i="3"/>
  <c r="J331" i="3"/>
  <c r="B331" i="3"/>
  <c r="J330" i="3"/>
  <c r="B330" i="3"/>
  <c r="J329" i="3"/>
  <c r="B329" i="3"/>
  <c r="J328" i="3"/>
  <c r="B328" i="3"/>
  <c r="J327" i="3"/>
  <c r="B327" i="3"/>
  <c r="B324" i="3"/>
  <c r="B322" i="3"/>
  <c r="J322" i="3"/>
  <c r="B323" i="3"/>
  <c r="J323" i="3"/>
  <c r="J314" i="3"/>
  <c r="B314" i="3"/>
  <c r="B305" i="3"/>
  <c r="J305" i="3"/>
  <c r="B306" i="3"/>
  <c r="J306" i="3"/>
  <c r="B307" i="3"/>
  <c r="J307" i="3"/>
  <c r="B308" i="3"/>
  <c r="J308" i="3"/>
  <c r="B302" i="3"/>
  <c r="J302" i="3"/>
  <c r="B303" i="3"/>
  <c r="J303" i="3"/>
  <c r="B295" i="3"/>
  <c r="J295" i="3"/>
  <c r="B296" i="3"/>
  <c r="J296" i="3"/>
  <c r="B297" i="3"/>
  <c r="J297" i="3"/>
  <c r="B298" i="3"/>
  <c r="J298" i="3"/>
  <c r="J292" i="3"/>
  <c r="B292" i="3"/>
  <c r="J291" i="3"/>
  <c r="B291" i="3"/>
  <c r="B290" i="3"/>
  <c r="J290" i="3"/>
  <c r="J180" i="3"/>
  <c r="B185" i="3" l="1"/>
  <c r="B38" i="3"/>
  <c r="J38" i="3"/>
  <c r="J49" i="3"/>
  <c r="B49" i="3"/>
  <c r="B28" i="3"/>
  <c r="B202" i="3"/>
  <c r="J202" i="3"/>
  <c r="J209" i="3"/>
  <c r="B209" i="3"/>
  <c r="B162" i="3"/>
  <c r="J162" i="3"/>
  <c r="J160" i="3"/>
  <c r="B320" i="3"/>
  <c r="J320" i="3"/>
  <c r="B360" i="3"/>
  <c r="B359" i="3"/>
  <c r="B358" i="3"/>
  <c r="G8" i="1"/>
  <c r="G121" i="1"/>
  <c r="E121" i="1"/>
  <c r="B238" i="3"/>
  <c r="B239" i="3"/>
  <c r="J238" i="3"/>
  <c r="J267" i="3"/>
  <c r="J239" i="3"/>
  <c r="M5" i="1"/>
  <c r="M4" i="1"/>
  <c r="J54" i="3" l="1"/>
  <c r="J55" i="3"/>
  <c r="B271" i="3"/>
  <c r="J271" i="3"/>
  <c r="B272" i="3"/>
  <c r="J272" i="3"/>
  <c r="B273" i="3"/>
  <c r="J273" i="3"/>
  <c r="B233" i="3"/>
  <c r="B234" i="3"/>
  <c r="J235" i="3"/>
  <c r="B235" i="3"/>
  <c r="J233" i="3"/>
  <c r="J234" i="3"/>
  <c r="B94" i="3"/>
  <c r="J93" i="3" l="1"/>
  <c r="B93" i="3"/>
  <c r="B8" i="3"/>
  <c r="B7" i="3"/>
  <c r="B4" i="3"/>
  <c r="B5" i="3"/>
  <c r="B6" i="3"/>
  <c r="B9" i="3"/>
  <c r="B10" i="3"/>
  <c r="B11" i="3"/>
  <c r="B12" i="3"/>
  <c r="J4" i="3"/>
  <c r="J11" i="3"/>
  <c r="J12" i="3"/>
  <c r="J10" i="3"/>
  <c r="B179" i="3"/>
  <c r="B180" i="3"/>
  <c r="B181" i="3"/>
  <c r="B182" i="3"/>
  <c r="B183" i="3"/>
  <c r="B184" i="3"/>
  <c r="B186" i="3"/>
  <c r="B187" i="3"/>
  <c r="B188" i="3"/>
  <c r="J179" i="3"/>
  <c r="J182" i="3"/>
  <c r="J186" i="3"/>
  <c r="J187" i="3"/>
  <c r="J188" i="3"/>
  <c r="B168" i="3"/>
  <c r="B169" i="3"/>
  <c r="J176" i="3"/>
  <c r="B176" i="3"/>
  <c r="J173" i="3"/>
  <c r="B173" i="3"/>
  <c r="J172" i="3"/>
  <c r="B172" i="3"/>
  <c r="J175" i="3"/>
  <c r="B175" i="3"/>
  <c r="J174" i="3"/>
  <c r="B174" i="3"/>
  <c r="J171" i="3"/>
  <c r="B171" i="3"/>
  <c r="J170" i="3"/>
  <c r="B170" i="3"/>
  <c r="J168" i="3"/>
  <c r="J169" i="3"/>
  <c r="J263" i="3"/>
  <c r="J210" i="3"/>
  <c r="B210" i="3"/>
  <c r="A30" i="1"/>
  <c r="G122" i="1"/>
  <c r="J246" i="3" l="1"/>
  <c r="B246" i="3"/>
  <c r="B143" i="3"/>
  <c r="J143" i="3"/>
  <c r="B31" i="3"/>
  <c r="J31" i="3"/>
  <c r="G156" i="1" l="1"/>
  <c r="G143" i="1" l="1"/>
  <c r="G127" i="1"/>
  <c r="G114" i="1"/>
  <c r="B14" i="3" l="1"/>
  <c r="B15" i="3"/>
  <c r="B16" i="3"/>
  <c r="B17" i="3"/>
  <c r="B18" i="3"/>
  <c r="B20" i="3"/>
  <c r="B21" i="3"/>
  <c r="B23" i="3"/>
  <c r="B24" i="3"/>
  <c r="B25" i="3"/>
  <c r="B26" i="3"/>
  <c r="B29" i="3"/>
  <c r="B30" i="3"/>
  <c r="B32" i="3"/>
  <c r="B33" i="3"/>
  <c r="B34" i="3"/>
  <c r="B36" i="3"/>
  <c r="B37" i="3"/>
  <c r="B39" i="3"/>
  <c r="B41" i="3"/>
  <c r="B45" i="3"/>
  <c r="B46" i="3"/>
  <c r="B47" i="3"/>
  <c r="B48" i="3"/>
  <c r="B56" i="3"/>
  <c r="B57" i="3"/>
  <c r="B58" i="3"/>
  <c r="B59" i="3"/>
  <c r="B60" i="3"/>
  <c r="B61" i="3"/>
  <c r="B62" i="3"/>
  <c r="B63" i="3"/>
  <c r="B64" i="3"/>
  <c r="B65" i="3"/>
  <c r="B66" i="3"/>
  <c r="B67" i="3"/>
  <c r="B71" i="3"/>
  <c r="B72" i="3"/>
  <c r="B78" i="3"/>
  <c r="B79" i="3"/>
  <c r="B80" i="3"/>
  <c r="B81" i="3"/>
  <c r="B82" i="3"/>
  <c r="B83" i="3"/>
  <c r="B84" i="3"/>
  <c r="B85" i="3"/>
  <c r="B86" i="3"/>
  <c r="B87" i="3"/>
  <c r="B89" i="3"/>
  <c r="B90" i="3"/>
  <c r="B92" i="3"/>
  <c r="B95" i="3"/>
  <c r="B96" i="3"/>
  <c r="B97" i="3"/>
  <c r="B98" i="3"/>
  <c r="B99" i="3"/>
  <c r="B100" i="3"/>
  <c r="B101" i="3"/>
  <c r="B102" i="3"/>
  <c r="B103" i="3"/>
  <c r="B104" i="3"/>
  <c r="B105" i="3"/>
  <c r="B106" i="3"/>
  <c r="B107" i="3"/>
  <c r="B108" i="3"/>
  <c r="B109" i="3"/>
  <c r="B110" i="3"/>
  <c r="B111" i="3"/>
  <c r="B112" i="3"/>
  <c r="B113" i="3"/>
  <c r="B114" i="3"/>
  <c r="B115" i="3"/>
  <c r="B116" i="3"/>
  <c r="B117" i="3"/>
  <c r="B118" i="3"/>
  <c r="B119" i="3"/>
  <c r="B120" i="3"/>
  <c r="B121" i="3"/>
  <c r="B122" i="3"/>
  <c r="B123" i="3"/>
  <c r="B124" i="3"/>
  <c r="B125" i="3"/>
  <c r="B126" i="3"/>
  <c r="B127" i="3"/>
  <c r="B128" i="3"/>
  <c r="B129" i="3"/>
  <c r="B130" i="3"/>
  <c r="B131" i="3"/>
  <c r="B132" i="3"/>
  <c r="B133" i="3"/>
  <c r="B134" i="3"/>
  <c r="B135" i="3"/>
  <c r="B136" i="3"/>
  <c r="B137" i="3"/>
  <c r="B138" i="3"/>
  <c r="B139" i="3"/>
  <c r="B140" i="3"/>
  <c r="B141" i="3"/>
  <c r="B142" i="3"/>
  <c r="B144" i="3"/>
  <c r="B145" i="3"/>
  <c r="B146" i="3"/>
  <c r="B147" i="3"/>
  <c r="B148" i="3"/>
  <c r="B149" i="3"/>
  <c r="B150" i="3"/>
  <c r="B151" i="3"/>
  <c r="B152" i="3"/>
  <c r="B154" i="3"/>
  <c r="B155" i="3"/>
  <c r="B156" i="3"/>
  <c r="B158" i="3"/>
  <c r="B161" i="3"/>
  <c r="B163" i="3"/>
  <c r="B165" i="3"/>
  <c r="B166" i="3"/>
  <c r="B167" i="3"/>
  <c r="B178" i="3"/>
  <c r="B190" i="3"/>
  <c r="B191" i="3"/>
  <c r="B201" i="3"/>
  <c r="B203" i="3"/>
  <c r="B204" i="3"/>
  <c r="B206" i="3"/>
  <c r="B208" i="3"/>
  <c r="B212" i="3"/>
  <c r="B214" i="3"/>
  <c r="B215" i="3"/>
  <c r="B216" i="3"/>
  <c r="B217" i="3"/>
  <c r="B218" i="3"/>
  <c r="B220" i="3"/>
  <c r="B221" i="3"/>
  <c r="B222" i="3"/>
  <c r="B223" i="3"/>
  <c r="B224" i="3"/>
  <c r="B225" i="3"/>
  <c r="B226" i="3"/>
  <c r="B227" i="3"/>
  <c r="B230" i="3"/>
  <c r="B231" i="3"/>
  <c r="B232" i="3"/>
  <c r="B236" i="3"/>
  <c r="B237" i="3"/>
  <c r="B240" i="3"/>
  <c r="B245" i="3"/>
  <c r="B252" i="3"/>
  <c r="B255" i="3"/>
  <c r="B257" i="3"/>
  <c r="B258" i="3"/>
  <c r="B259" i="3"/>
  <c r="B261" i="3"/>
  <c r="B268" i="3"/>
  <c r="B269" i="3"/>
  <c r="B270" i="3"/>
  <c r="B281" i="3"/>
  <c r="B282" i="3"/>
  <c r="B284" i="3"/>
  <c r="B285" i="3"/>
  <c r="B286" i="3"/>
  <c r="B287" i="3"/>
  <c r="B293" i="3"/>
  <c r="B294" i="3"/>
  <c r="B299" i="3"/>
  <c r="B300" i="3"/>
  <c r="B301" i="3"/>
  <c r="B304" i="3"/>
  <c r="B309" i="3"/>
  <c r="B310" i="3"/>
  <c r="B311" i="3"/>
  <c r="B312" i="3"/>
  <c r="B313" i="3"/>
  <c r="B315" i="3"/>
  <c r="B316" i="3"/>
  <c r="B317" i="3"/>
  <c r="B318" i="3"/>
  <c r="B319" i="3"/>
  <c r="B321" i="3"/>
  <c r="B325" i="3"/>
  <c r="B326" i="3"/>
  <c r="J22" i="1"/>
  <c r="J53" i="3"/>
  <c r="J52" i="3"/>
  <c r="J51" i="3"/>
  <c r="J50" i="3"/>
  <c r="G123" i="1" l="1"/>
  <c r="E122" i="1"/>
  <c r="I5" i="1"/>
  <c r="A32" i="1"/>
  <c r="I2" i="2"/>
  <c r="H2" i="2"/>
  <c r="G2" i="2"/>
  <c r="F2" i="2"/>
  <c r="E2" i="2"/>
  <c r="D2" i="2"/>
  <c r="C2" i="2"/>
  <c r="F9" i="12" l="1"/>
  <c r="F9" i="11"/>
  <c r="E146" i="1"/>
  <c r="F9" i="10"/>
  <c r="K2" i="2"/>
  <c r="A31" i="1"/>
  <c r="J2" i="2"/>
  <c r="J321" i="3" l="1"/>
  <c r="J319" i="3"/>
  <c r="J318" i="3"/>
  <c r="J317" i="3"/>
  <c r="J313" i="3"/>
  <c r="J312" i="3"/>
  <c r="J311" i="3"/>
  <c r="J310" i="3"/>
  <c r="J309" i="3"/>
  <c r="J301" i="3"/>
  <c r="J300" i="3"/>
  <c r="J299" i="3"/>
  <c r="J289" i="3"/>
  <c r="J288" i="3"/>
  <c r="J283" i="3"/>
  <c r="J280" i="3"/>
  <c r="J279" i="3"/>
  <c r="J278" i="3"/>
  <c r="J277" i="3"/>
  <c r="J276" i="3"/>
  <c r="J275" i="3"/>
  <c r="J274" i="3"/>
  <c r="J270" i="3"/>
  <c r="J268" i="3"/>
  <c r="J266" i="3"/>
  <c r="J265" i="3"/>
  <c r="J264" i="3"/>
  <c r="J262" i="3"/>
  <c r="J261" i="3"/>
  <c r="J260" i="3"/>
  <c r="J259" i="3"/>
  <c r="J258" i="3"/>
  <c r="J256" i="3"/>
  <c r="J254" i="3"/>
  <c r="J253" i="3"/>
  <c r="J251" i="3"/>
  <c r="J250" i="3"/>
  <c r="J249" i="3"/>
  <c r="J248" i="3"/>
  <c r="J247" i="3"/>
  <c r="J229" i="3"/>
  <c r="J228" i="3"/>
  <c r="J222" i="3"/>
  <c r="J221" i="3"/>
  <c r="J220" i="3"/>
  <c r="J219" i="3"/>
  <c r="J216" i="3"/>
  <c r="J215" i="3"/>
  <c r="J213" i="3"/>
  <c r="J212" i="3"/>
  <c r="J211" i="3"/>
  <c r="J192" i="3"/>
  <c r="J144" i="3"/>
  <c r="J91" i="3"/>
  <c r="J88" i="3"/>
  <c r="J82" i="3"/>
  <c r="J81" i="3"/>
  <c r="J77" i="3"/>
  <c r="J76" i="3"/>
  <c r="J75" i="3"/>
  <c r="J74" i="3"/>
  <c r="J73" i="3"/>
  <c r="J67" i="3"/>
  <c r="J66" i="3"/>
  <c r="J65" i="3"/>
  <c r="J64" i="3"/>
  <c r="J63" i="3"/>
  <c r="J62" i="3"/>
  <c r="J61" i="3"/>
  <c r="J60" i="3"/>
  <c r="J59" i="3"/>
  <c r="J58" i="3"/>
  <c r="J57" i="3"/>
  <c r="J56" i="3"/>
  <c r="J47" i="3"/>
  <c r="J46" i="3"/>
  <c r="J45" i="3"/>
  <c r="J44" i="3"/>
  <c r="J43" i="3"/>
  <c r="J42" i="3"/>
  <c r="J14" i="3"/>
  <c r="J16" i="3"/>
  <c r="J17" i="3"/>
  <c r="J25" i="3"/>
  <c r="J24" i="3"/>
  <c r="J23" i="3"/>
  <c r="J161" i="3"/>
  <c r="J163" i="3"/>
  <c r="J164" i="3"/>
  <c r="J165" i="3"/>
  <c r="J166" i="3"/>
  <c r="J237" i="3"/>
  <c r="J240" i="3"/>
  <c r="J241" i="3"/>
  <c r="J242" i="3"/>
  <c r="J2" i="3"/>
  <c r="J146" i="3"/>
  <c r="J147" i="3"/>
  <c r="J148" i="3"/>
  <c r="J149" i="3"/>
  <c r="J150" i="3"/>
  <c r="J151" i="3"/>
  <c r="J152" i="3"/>
  <c r="J153" i="3"/>
  <c r="J154" i="3"/>
  <c r="J155" i="3"/>
  <c r="J156" i="3"/>
  <c r="J157" i="3"/>
  <c r="J158" i="3"/>
  <c r="J159" i="3"/>
  <c r="J177" i="3"/>
  <c r="J178" i="3"/>
  <c r="J189" i="3"/>
  <c r="J190" i="3"/>
  <c r="J193" i="3"/>
  <c r="J194" i="3"/>
  <c r="J195" i="3"/>
  <c r="J196" i="3"/>
  <c r="J197" i="3"/>
  <c r="J198" i="3"/>
  <c r="J199" i="3"/>
  <c r="J200" i="3"/>
  <c r="J236" i="3"/>
  <c r="J243" i="3"/>
  <c r="J294" i="3"/>
  <c r="J304" i="3"/>
  <c r="AO2" i="5" l="1"/>
  <c r="X20" i="5"/>
  <c r="AJ2" i="5"/>
  <c r="AH2" i="5"/>
  <c r="AF2" i="5"/>
  <c r="AD2" i="5"/>
  <c r="AB2" i="5"/>
  <c r="Z2" i="5"/>
  <c r="W27" i="5"/>
  <c r="X2" i="5"/>
  <c r="X6" i="5" l="1"/>
  <c r="Z3" i="5"/>
  <c r="G27" i="1" l="1"/>
  <c r="B2" i="5"/>
  <c r="G7" i="1"/>
  <c r="A16" i="1"/>
  <c r="A17" i="1" s="1"/>
  <c r="A14" i="1"/>
  <c r="A15" i="1" s="1"/>
  <c r="A13" i="1"/>
  <c r="G142" i="1"/>
  <c r="G137" i="1"/>
  <c r="F42" i="10" l="1"/>
  <c r="F42" i="11"/>
  <c r="F42" i="12"/>
  <c r="E155" i="1"/>
  <c r="D110" i="11"/>
  <c r="D130" i="10"/>
  <c r="D101" i="12"/>
  <c r="K121" i="1"/>
  <c r="D111" i="11" l="1"/>
  <c r="D131" i="10"/>
  <c r="D102" i="12"/>
  <c r="AO15" i="5"/>
  <c r="C80" i="1" l="1"/>
  <c r="AL8" i="5" l="1"/>
  <c r="AL14" i="5" s="1"/>
  <c r="AA8" i="5"/>
  <c r="AA14" i="5" s="1"/>
  <c r="AC8" i="5"/>
  <c r="AC14" i="5" s="1"/>
  <c r="AE8" i="5"/>
  <c r="AE14" i="5" s="1"/>
  <c r="AG8" i="5"/>
  <c r="AG14" i="5" s="1"/>
  <c r="AI8" i="5"/>
  <c r="AI14" i="5" s="1"/>
  <c r="AK8" i="5"/>
  <c r="AK14" i="5" s="1"/>
  <c r="Y8" i="5"/>
  <c r="Y14" i="5" s="1"/>
  <c r="AJ8" i="5" l="1"/>
  <c r="AJ14" i="5" s="1"/>
  <c r="AH8" i="5"/>
  <c r="AH14" i="5" s="1"/>
  <c r="AF8" i="5"/>
  <c r="AF14" i="5" s="1"/>
  <c r="AD8" i="5"/>
  <c r="AD14" i="5" s="1"/>
  <c r="AB8" i="5"/>
  <c r="AB14" i="5" s="1"/>
  <c r="Z8" i="5"/>
  <c r="Z14" i="5" s="1"/>
  <c r="Y31" i="5" l="1"/>
  <c r="Z31" i="5" s="1"/>
  <c r="AO9" i="5" l="1"/>
  <c r="X3" i="5"/>
  <c r="AO4" i="5"/>
  <c r="AO10" i="5"/>
  <c r="AO11" i="5"/>
  <c r="AO12" i="5"/>
  <c r="AO8" i="5"/>
  <c r="AO3" i="5"/>
  <c r="AO6" i="5"/>
  <c r="AO5" i="5"/>
  <c r="AO7" i="5"/>
  <c r="AA31" i="5"/>
  <c r="Y32" i="5"/>
  <c r="Y30" i="5"/>
  <c r="X8" i="5"/>
  <c r="X12" i="5" s="1"/>
  <c r="X5" i="5"/>
  <c r="X4" i="5"/>
  <c r="Z30" i="5" l="1"/>
  <c r="AA30" i="5" s="1"/>
  <c r="Z32" i="5"/>
  <c r="AA32" i="5" s="1"/>
  <c r="X21" i="5" s="1"/>
  <c r="X22" i="5" s="1"/>
  <c r="X14" i="5"/>
  <c r="X11" i="5"/>
  <c r="X9" i="5"/>
  <c r="X10" i="5"/>
  <c r="B43" i="2"/>
  <c r="B44" i="2" s="1"/>
  <c r="X23" i="5" l="1"/>
  <c r="X24" i="5"/>
  <c r="W20" i="5"/>
  <c r="X16" i="5"/>
  <c r="X17" i="5"/>
  <c r="X15" i="5"/>
  <c r="J218" i="3"/>
  <c r="C46" i="2" l="1"/>
  <c r="C45" i="2"/>
  <c r="C44" i="2"/>
  <c r="C43" i="2"/>
  <c r="C42" i="2"/>
  <c r="C41" i="2"/>
  <c r="C40" i="2"/>
  <c r="C39" i="2"/>
  <c r="C38" i="2"/>
  <c r="C37" i="2"/>
  <c r="C36" i="2"/>
  <c r="C35" i="2"/>
  <c r="C47" i="2" l="1"/>
  <c r="E29" i="2" l="1"/>
  <c r="O48" i="5" l="1"/>
  <c r="P48" i="5"/>
  <c r="Q48" i="5"/>
  <c r="P38" i="5"/>
  <c r="Q38" i="5"/>
  <c r="O38" i="5"/>
  <c r="C31" i="2" l="1"/>
  <c r="N2" i="5" l="1"/>
  <c r="Q27" i="5"/>
  <c r="P27" i="5"/>
  <c r="O27" i="5"/>
  <c r="J214" i="3"/>
  <c r="N3" i="5" l="1"/>
  <c r="S12" i="5"/>
  <c r="S11" i="5"/>
  <c r="S14" i="5"/>
  <c r="S13" i="5"/>
  <c r="T19" i="5"/>
  <c r="T20" i="5"/>
  <c r="T21" i="5"/>
  <c r="N21" i="5"/>
  <c r="N22" i="5"/>
  <c r="R22" i="5" s="1"/>
  <c r="N19" i="5"/>
  <c r="N20" i="5"/>
  <c r="U15" i="5"/>
  <c r="U16" i="5"/>
  <c r="T22" i="5"/>
  <c r="T17" i="5"/>
  <c r="N38" i="5"/>
  <c r="T18" i="5"/>
  <c r="S4" i="5"/>
  <c r="S6" i="5"/>
  <c r="S8" i="5"/>
  <c r="S10" i="5"/>
  <c r="S5" i="5"/>
  <c r="S7" i="5"/>
  <c r="S9" i="5"/>
  <c r="S3" i="5"/>
  <c r="N48" i="5"/>
  <c r="N5" i="5"/>
  <c r="N27" i="5"/>
  <c r="N12" i="5"/>
  <c r="N16" i="5"/>
  <c r="N18" i="5"/>
  <c r="N14" i="5"/>
  <c r="N10" i="5"/>
  <c r="N8" i="5"/>
  <c r="N6" i="5"/>
  <c r="N4" i="5"/>
  <c r="N17" i="5"/>
  <c r="N15" i="5"/>
  <c r="N13" i="5"/>
  <c r="N11" i="5"/>
  <c r="N9" i="5"/>
  <c r="N7" i="5"/>
  <c r="B4" i="5"/>
  <c r="N55" i="5" l="1"/>
  <c r="J86" i="1"/>
  <c r="J78" i="1"/>
  <c r="N56" i="5"/>
  <c r="N30" i="5"/>
  <c r="N32" i="5"/>
  <c r="N34" i="5"/>
  <c r="N29" i="5"/>
  <c r="N31" i="5"/>
  <c r="N33" i="5"/>
  <c r="N28" i="5"/>
  <c r="I72" i="1"/>
  <c r="H72" i="1"/>
  <c r="G72" i="1"/>
  <c r="B437" i="5"/>
  <c r="B373" i="5"/>
  <c r="B469" i="5"/>
  <c r="B405" i="5"/>
  <c r="B341" i="5"/>
  <c r="B453" i="5"/>
  <c r="B421" i="5"/>
  <c r="B389" i="5"/>
  <c r="B357" i="5"/>
  <c r="B311" i="5"/>
  <c r="B461" i="5"/>
  <c r="B445" i="5"/>
  <c r="B429" i="5"/>
  <c r="B413" i="5"/>
  <c r="B397" i="5"/>
  <c r="B381" i="5"/>
  <c r="B365" i="5"/>
  <c r="B349" i="5"/>
  <c r="B327" i="5"/>
  <c r="B295" i="5"/>
  <c r="B473" i="5"/>
  <c r="B465" i="5"/>
  <c r="B457" i="5"/>
  <c r="B449" i="5"/>
  <c r="B441" i="5"/>
  <c r="B433" i="5"/>
  <c r="B425" i="5"/>
  <c r="B417" i="5"/>
  <c r="B409" i="5"/>
  <c r="B401" i="5"/>
  <c r="B393" i="5"/>
  <c r="B385" i="5"/>
  <c r="B377" i="5"/>
  <c r="B369" i="5"/>
  <c r="B361" i="5"/>
  <c r="B353" i="5"/>
  <c r="B345" i="5"/>
  <c r="B335" i="5"/>
  <c r="B319" i="5"/>
  <c r="B303" i="5"/>
  <c r="B287" i="5"/>
  <c r="B471" i="5"/>
  <c r="B467" i="5"/>
  <c r="B463" i="5"/>
  <c r="B459" i="5"/>
  <c r="B455" i="5"/>
  <c r="B451" i="5"/>
  <c r="B447" i="5"/>
  <c r="B443" i="5"/>
  <c r="B439" i="5"/>
  <c r="B435" i="5"/>
  <c r="B431" i="5"/>
  <c r="B427" i="5"/>
  <c r="B423" i="5"/>
  <c r="B419" i="5"/>
  <c r="B415" i="5"/>
  <c r="B411" i="5"/>
  <c r="B407" i="5"/>
  <c r="B403" i="5"/>
  <c r="B399" i="5"/>
  <c r="B395" i="5"/>
  <c r="B391" i="5"/>
  <c r="B387" i="5"/>
  <c r="B383" i="5"/>
  <c r="B379" i="5"/>
  <c r="B375" i="5"/>
  <c r="B371" i="5"/>
  <c r="B367" i="5"/>
  <c r="B363" i="5"/>
  <c r="B359" i="5"/>
  <c r="B355" i="5"/>
  <c r="B351" i="5"/>
  <c r="B347" i="5"/>
  <c r="B343" i="5"/>
  <c r="B339" i="5"/>
  <c r="B331" i="5"/>
  <c r="B323" i="5"/>
  <c r="B315" i="5"/>
  <c r="B307" i="5"/>
  <c r="B299" i="5"/>
  <c r="B291" i="5"/>
  <c r="B283" i="5"/>
  <c r="B337" i="5"/>
  <c r="B333" i="5"/>
  <c r="B329" i="5"/>
  <c r="B325" i="5"/>
  <c r="B321" i="5"/>
  <c r="B317" i="5"/>
  <c r="B313" i="5"/>
  <c r="B309" i="5"/>
  <c r="B305" i="5"/>
  <c r="B301" i="5"/>
  <c r="B297" i="5"/>
  <c r="B293" i="5"/>
  <c r="B289" i="5"/>
  <c r="B285" i="5"/>
  <c r="B281" i="5"/>
  <c r="B279" i="5"/>
  <c r="B277" i="5"/>
  <c r="B275" i="5"/>
  <c r="B273" i="5"/>
  <c r="B271" i="5"/>
  <c r="B269" i="5"/>
  <c r="B267" i="5"/>
  <c r="B265" i="5"/>
  <c r="B263" i="5"/>
  <c r="B261" i="5"/>
  <c r="B259" i="5"/>
  <c r="B257" i="5"/>
  <c r="B255" i="5"/>
  <c r="B253" i="5"/>
  <c r="B251" i="5"/>
  <c r="B249" i="5"/>
  <c r="B247" i="5"/>
  <c r="B245" i="5"/>
  <c r="B243" i="5"/>
  <c r="B241" i="5"/>
  <c r="B239" i="5"/>
  <c r="B237" i="5"/>
  <c r="B235" i="5"/>
  <c r="B233" i="5"/>
  <c r="B231" i="5"/>
  <c r="B229" i="5"/>
  <c r="B227" i="5"/>
  <c r="B225" i="5"/>
  <c r="B223" i="5"/>
  <c r="B221" i="5"/>
  <c r="B219" i="5"/>
  <c r="B217" i="5"/>
  <c r="B215" i="5"/>
  <c r="B213" i="5"/>
  <c r="B211" i="5"/>
  <c r="B209" i="5"/>
  <c r="B207" i="5"/>
  <c r="B205" i="5"/>
  <c r="B203" i="5"/>
  <c r="B201" i="5"/>
  <c r="B199" i="5"/>
  <c r="B197" i="5"/>
  <c r="B195" i="5"/>
  <c r="B193" i="5"/>
  <c r="B191" i="5"/>
  <c r="B189" i="5"/>
  <c r="B186" i="5"/>
  <c r="B182" i="5"/>
  <c r="B178" i="5"/>
  <c r="B174" i="5"/>
  <c r="B170" i="5"/>
  <c r="B166" i="5"/>
  <c r="B162" i="5"/>
  <c r="B158" i="5"/>
  <c r="B154" i="5"/>
  <c r="B150" i="5"/>
  <c r="B146" i="5"/>
  <c r="B142" i="5"/>
  <c r="B138" i="5"/>
  <c r="B134" i="5"/>
  <c r="B130" i="5"/>
  <c r="B126" i="5"/>
  <c r="B122" i="5"/>
  <c r="B118" i="5"/>
  <c r="B110" i="5"/>
  <c r="B106" i="5"/>
  <c r="B102" i="5"/>
  <c r="B98" i="5"/>
  <c r="B94" i="5"/>
  <c r="B90" i="5"/>
  <c r="B86" i="5"/>
  <c r="B82" i="5"/>
  <c r="B76" i="5"/>
  <c r="B68" i="5"/>
  <c r="B60" i="5"/>
  <c r="B51" i="5"/>
  <c r="B35" i="5"/>
  <c r="B19" i="5"/>
  <c r="B474" i="5"/>
  <c r="B472" i="5"/>
  <c r="B470" i="5"/>
  <c r="B468" i="5"/>
  <c r="B466" i="5"/>
  <c r="B464" i="5"/>
  <c r="B462" i="5"/>
  <c r="B460" i="5"/>
  <c r="B458" i="5"/>
  <c r="B456" i="5"/>
  <c r="B454" i="5"/>
  <c r="B452" i="5"/>
  <c r="B450" i="5"/>
  <c r="B448" i="5"/>
  <c r="B446" i="5"/>
  <c r="B444" i="5"/>
  <c r="B442" i="5"/>
  <c r="B440" i="5"/>
  <c r="B438" i="5"/>
  <c r="B436" i="5"/>
  <c r="B434" i="5"/>
  <c r="B432" i="5"/>
  <c r="B430" i="5"/>
  <c r="B428" i="5"/>
  <c r="B426" i="5"/>
  <c r="B424" i="5"/>
  <c r="B422" i="5"/>
  <c r="B420" i="5"/>
  <c r="B418" i="5"/>
  <c r="B416" i="5"/>
  <c r="B414" i="5"/>
  <c r="B412" i="5"/>
  <c r="B410" i="5"/>
  <c r="B408" i="5"/>
  <c r="B406" i="5"/>
  <c r="B404" i="5"/>
  <c r="B402" i="5"/>
  <c r="B400" i="5"/>
  <c r="B398" i="5"/>
  <c r="B396" i="5"/>
  <c r="B394" i="5"/>
  <c r="B392" i="5"/>
  <c r="B390" i="5"/>
  <c r="B388" i="5"/>
  <c r="B386" i="5"/>
  <c r="B384" i="5"/>
  <c r="B382" i="5"/>
  <c r="B380" i="5"/>
  <c r="B378" i="5"/>
  <c r="B376" i="5"/>
  <c r="B374" i="5"/>
  <c r="B372" i="5"/>
  <c r="B370" i="5"/>
  <c r="B368" i="5"/>
  <c r="B366" i="5"/>
  <c r="B364" i="5"/>
  <c r="B362" i="5"/>
  <c r="B360" i="5"/>
  <c r="B358" i="5"/>
  <c r="B356" i="5"/>
  <c r="B354" i="5"/>
  <c r="B352" i="5"/>
  <c r="B350" i="5"/>
  <c r="B348" i="5"/>
  <c r="B346" i="5"/>
  <c r="B344" i="5"/>
  <c r="B342" i="5"/>
  <c r="B340" i="5"/>
  <c r="B338" i="5"/>
  <c r="B336" i="5"/>
  <c r="B334" i="5"/>
  <c r="B332" i="5"/>
  <c r="B330" i="5"/>
  <c r="B328" i="5"/>
  <c r="B326" i="5"/>
  <c r="B324" i="5"/>
  <c r="B322" i="5"/>
  <c r="B320" i="5"/>
  <c r="B318" i="5"/>
  <c r="B316" i="5"/>
  <c r="B314" i="5"/>
  <c r="B312" i="5"/>
  <c r="B310" i="5"/>
  <c r="B308" i="5"/>
  <c r="B306" i="5"/>
  <c r="B304" i="5"/>
  <c r="B302" i="5"/>
  <c r="B300" i="5"/>
  <c r="B298" i="5"/>
  <c r="B296" i="5"/>
  <c r="B294" i="5"/>
  <c r="B292" i="5"/>
  <c r="B290" i="5"/>
  <c r="B288" i="5"/>
  <c r="B286" i="5"/>
  <c r="B284" i="5"/>
  <c r="B282" i="5"/>
  <c r="B280" i="5"/>
  <c r="B278" i="5"/>
  <c r="B276" i="5"/>
  <c r="B274" i="5"/>
  <c r="B272" i="5"/>
  <c r="B270" i="5"/>
  <c r="B268" i="5"/>
  <c r="B266" i="5"/>
  <c r="B264" i="5"/>
  <c r="B262" i="5"/>
  <c r="B260" i="5"/>
  <c r="B258" i="5"/>
  <c r="B256" i="5"/>
  <c r="B254" i="5"/>
  <c r="B252" i="5"/>
  <c r="B250" i="5"/>
  <c r="B248" i="5"/>
  <c r="B246" i="5"/>
  <c r="B244" i="5"/>
  <c r="B242" i="5"/>
  <c r="B240" i="5"/>
  <c r="B238" i="5"/>
  <c r="B236" i="5"/>
  <c r="B234" i="5"/>
  <c r="B232" i="5"/>
  <c r="B230" i="5"/>
  <c r="B228" i="5"/>
  <c r="B226" i="5"/>
  <c r="B224" i="5"/>
  <c r="B222" i="5"/>
  <c r="B220" i="5"/>
  <c r="B218" i="5"/>
  <c r="B216" i="5"/>
  <c r="B214" i="5"/>
  <c r="B212" i="5"/>
  <c r="B210" i="5"/>
  <c r="B208" i="5"/>
  <c r="B206" i="5"/>
  <c r="B204" i="5"/>
  <c r="B202" i="5"/>
  <c r="B200" i="5"/>
  <c r="B198" i="5"/>
  <c r="B196" i="5"/>
  <c r="B194" i="5"/>
  <c r="B192" i="5"/>
  <c r="B190" i="5"/>
  <c r="B188" i="5"/>
  <c r="B184" i="5"/>
  <c r="B180" i="5"/>
  <c r="B176" i="5"/>
  <c r="B172" i="5"/>
  <c r="B168" i="5"/>
  <c r="B164" i="5"/>
  <c r="B160" i="5"/>
  <c r="B156" i="5"/>
  <c r="B152" i="5"/>
  <c r="B148" i="5"/>
  <c r="B144" i="5"/>
  <c r="B140" i="5"/>
  <c r="B136" i="5"/>
  <c r="B132" i="5"/>
  <c r="B128" i="5"/>
  <c r="B124" i="5"/>
  <c r="B120" i="5"/>
  <c r="B116" i="5"/>
  <c r="B112" i="5"/>
  <c r="B108" i="5"/>
  <c r="B104" i="5"/>
  <c r="B100" i="5"/>
  <c r="B96" i="5"/>
  <c r="B92" i="5"/>
  <c r="B88" i="5"/>
  <c r="B84" i="5"/>
  <c r="B80" i="5"/>
  <c r="B72" i="5"/>
  <c r="B64" i="5"/>
  <c r="B56" i="5"/>
  <c r="B43" i="5"/>
  <c r="B27" i="5"/>
  <c r="B11" i="5"/>
  <c r="B78" i="5"/>
  <c r="B74" i="5"/>
  <c r="B70" i="5"/>
  <c r="B66" i="5"/>
  <c r="B62" i="5"/>
  <c r="B58" i="5"/>
  <c r="B54" i="5"/>
  <c r="B47" i="5"/>
  <c r="B39" i="5"/>
  <c r="B31" i="5"/>
  <c r="B23" i="5"/>
  <c r="B15" i="5"/>
  <c r="B7" i="5"/>
  <c r="B187" i="5"/>
  <c r="B185" i="5"/>
  <c r="B183" i="5"/>
  <c r="B181" i="5"/>
  <c r="B179" i="5"/>
  <c r="B177" i="5"/>
  <c r="B175" i="5"/>
  <c r="B173" i="5"/>
  <c r="B171" i="5"/>
  <c r="B169" i="5"/>
  <c r="B167" i="5"/>
  <c r="B165" i="5"/>
  <c r="B163" i="5"/>
  <c r="B161" i="5"/>
  <c r="B159" i="5"/>
  <c r="B157" i="5"/>
  <c r="B155" i="5"/>
  <c r="B153" i="5"/>
  <c r="B151" i="5"/>
  <c r="B149" i="5"/>
  <c r="B147" i="5"/>
  <c r="B145" i="5"/>
  <c r="B143" i="5"/>
  <c r="B141" i="5"/>
  <c r="B139" i="5"/>
  <c r="B137" i="5"/>
  <c r="B135" i="5"/>
  <c r="B133" i="5"/>
  <c r="B131" i="5"/>
  <c r="B129" i="5"/>
  <c r="B127" i="5"/>
  <c r="B125" i="5"/>
  <c r="B123" i="5"/>
  <c r="B121" i="5"/>
  <c r="B119" i="5"/>
  <c r="B117" i="5"/>
  <c r="B111" i="5"/>
  <c r="B109" i="5"/>
  <c r="B107" i="5"/>
  <c r="B105" i="5"/>
  <c r="B103" i="5"/>
  <c r="B101" i="5"/>
  <c r="B99" i="5"/>
  <c r="B97" i="5"/>
  <c r="B95" i="5"/>
  <c r="B93" i="5"/>
  <c r="B91" i="5"/>
  <c r="B89" i="5"/>
  <c r="B87" i="5"/>
  <c r="B85" i="5"/>
  <c r="B83" i="5"/>
  <c r="B81" i="5"/>
  <c r="B79" i="5"/>
  <c r="B77" i="5"/>
  <c r="B75" i="5"/>
  <c r="B73" i="5"/>
  <c r="B71" i="5"/>
  <c r="B69" i="5"/>
  <c r="B67" i="5"/>
  <c r="B65" i="5"/>
  <c r="B63" i="5"/>
  <c r="B61" i="5"/>
  <c r="B59" i="5"/>
  <c r="B57" i="5"/>
  <c r="B55" i="5"/>
  <c r="B53" i="5"/>
  <c r="B49" i="5"/>
  <c r="B45" i="5"/>
  <c r="B41" i="5"/>
  <c r="B37" i="5"/>
  <c r="B33" i="5"/>
  <c r="B29" i="5"/>
  <c r="B25" i="5"/>
  <c r="B21" i="5"/>
  <c r="B17" i="5"/>
  <c r="B13" i="5"/>
  <c r="B9" i="5"/>
  <c r="B5" i="5"/>
  <c r="B3" i="5"/>
  <c r="B52" i="5"/>
  <c r="B50" i="5"/>
  <c r="B48" i="5"/>
  <c r="B46" i="5"/>
  <c r="B44" i="5"/>
  <c r="B42" i="5"/>
  <c r="B40" i="5"/>
  <c r="B38" i="5"/>
  <c r="B36" i="5"/>
  <c r="B34" i="5"/>
  <c r="B32" i="5"/>
  <c r="B30" i="5"/>
  <c r="B28" i="5"/>
  <c r="B26" i="5"/>
  <c r="B24" i="5"/>
  <c r="B22" i="5"/>
  <c r="B20" i="5"/>
  <c r="B18" i="5"/>
  <c r="B16" i="5"/>
  <c r="B14" i="5"/>
  <c r="B12" i="5"/>
  <c r="B10" i="5"/>
  <c r="B8" i="5"/>
  <c r="B6" i="5"/>
  <c r="N54" i="5" l="1"/>
  <c r="N41" i="5" l="1"/>
  <c r="N43" i="5"/>
  <c r="N39" i="5"/>
  <c r="N40" i="5"/>
  <c r="N42" i="5"/>
  <c r="N44" i="5"/>
  <c r="J139" i="3"/>
  <c r="J138" i="3"/>
  <c r="J137" i="3"/>
  <c r="J136" i="3"/>
  <c r="J135" i="3"/>
  <c r="J134" i="3"/>
  <c r="J133" i="3"/>
  <c r="J132" i="3"/>
  <c r="J287" i="3"/>
  <c r="J286" i="3"/>
  <c r="J285" i="3"/>
  <c r="J284" i="3"/>
  <c r="J282" i="3"/>
  <c r="J281" i="3"/>
  <c r="J269" i="3"/>
  <c r="J257" i="3"/>
  <c r="J255" i="3"/>
  <c r="J252" i="3"/>
  <c r="J245" i="3"/>
  <c r="J232" i="3"/>
  <c r="J231" i="3"/>
  <c r="J230" i="3"/>
  <c r="J227" i="3"/>
  <c r="J226" i="3"/>
  <c r="J224" i="3"/>
  <c r="J223" i="3"/>
  <c r="J201" i="3"/>
  <c r="J191" i="3"/>
  <c r="J145" i="3"/>
  <c r="J142" i="3"/>
  <c r="J167" i="3"/>
  <c r="J141" i="3"/>
  <c r="J140" i="3"/>
  <c r="J131" i="3"/>
  <c r="J130" i="3"/>
  <c r="J129" i="3"/>
  <c r="J225" i="3"/>
  <c r="J217" i="3"/>
  <c r="J90" i="3"/>
  <c r="J89" i="3"/>
  <c r="J87" i="3"/>
  <c r="J86" i="3"/>
  <c r="J85" i="3"/>
  <c r="J84" i="3"/>
  <c r="J83" i="3"/>
  <c r="J80" i="3"/>
  <c r="J79" i="3"/>
  <c r="J78" i="3"/>
  <c r="J72" i="3"/>
  <c r="J71" i="3"/>
  <c r="J48" i="3"/>
  <c r="J41" i="3"/>
  <c r="J39" i="3"/>
  <c r="J37" i="3"/>
  <c r="J36" i="3"/>
  <c r="J34" i="3"/>
  <c r="J33" i="3"/>
  <c r="J32" i="3"/>
  <c r="J30" i="3"/>
  <c r="J29" i="3"/>
  <c r="J26" i="3"/>
  <c r="J18" i="3"/>
  <c r="J15" i="3"/>
  <c r="J316" i="3"/>
  <c r="J315" i="3"/>
  <c r="J293" i="3"/>
  <c r="J128" i="3"/>
  <c r="J127" i="3"/>
  <c r="J126" i="3"/>
  <c r="J125" i="3"/>
  <c r="J124" i="3"/>
  <c r="J123" i="3"/>
  <c r="J122" i="3"/>
  <c r="J121" i="3"/>
  <c r="J120" i="3"/>
  <c r="J119" i="3"/>
  <c r="J118" i="3"/>
  <c r="J117" i="3"/>
  <c r="J116" i="3"/>
  <c r="J115" i="3"/>
  <c r="J114" i="3"/>
  <c r="J113" i="3"/>
  <c r="J112" i="3"/>
  <c r="J111" i="3"/>
  <c r="J110" i="3"/>
  <c r="J109" i="3"/>
  <c r="J108" i="3"/>
  <c r="J107" i="3"/>
  <c r="J106" i="3"/>
  <c r="J105" i="3"/>
  <c r="J104" i="3"/>
  <c r="J103" i="3"/>
  <c r="J102" i="3"/>
  <c r="J101" i="3"/>
  <c r="J100" i="3"/>
  <c r="J99" i="3"/>
  <c r="J98" i="3"/>
  <c r="J97" i="3"/>
  <c r="J96" i="3"/>
  <c r="J95" i="3"/>
  <c r="N51" i="5" l="1"/>
  <c r="N53" i="5"/>
  <c r="N49" i="5"/>
  <c r="N50" i="5"/>
  <c r="N5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Ott, Dietmar (SE T NP BIC S PLM)</author>
    <author>Karl, Andreas</author>
  </authors>
  <commentList>
    <comment ref="J27" authorId="0" shapeId="0" xr:uid="{24AD9346-C1A9-4767-A014-7F6528FBA4A1}">
      <text>
        <r>
          <rPr>
            <b/>
            <sz val="9"/>
            <color indexed="81"/>
            <rFont val="Segoe UI"/>
            <family val="2"/>
          </rPr>
          <t>Ott, Dietmar (SE T NP BIC S PLM):</t>
        </r>
        <r>
          <rPr>
            <sz val="9"/>
            <color indexed="81"/>
            <rFont val="Segoe UI"/>
            <family val="2"/>
          </rPr>
          <t xml:space="preserve">
INFO creepage distance (CD):
CD = Um x SCD (IEC60815:1986)
CD = Um/√3 x RUSCD (IEC60815:2008)</t>
        </r>
      </text>
    </comment>
    <comment ref="E123" authorId="1" shapeId="0" xr:uid="{D5255654-5C8F-43FE-88AA-9E111882B9BD}">
      <text>
        <r>
          <rPr>
            <b/>
            <sz val="9"/>
            <color indexed="81"/>
            <rFont val="Segoe UI"/>
            <family val="2"/>
          </rPr>
          <t>Karl, Andreas:</t>
        </r>
        <r>
          <rPr>
            <sz val="9"/>
            <color indexed="81"/>
            <rFont val="Segoe UI"/>
            <family val="2"/>
          </rPr>
          <t xml:space="preserve">
For TAG / TVG choose DN8!</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Mukhametshina, Yulia (GP TP NSW BIC S EMEA TG OFM)</author>
  </authors>
  <commentList>
    <comment ref="F43" authorId="0" shapeId="0" xr:uid="{5E61BAA1-5150-4921-AFF1-DFC2EE53064D}">
      <text>
        <r>
          <rPr>
            <b/>
            <sz val="9"/>
            <color indexed="81"/>
            <rFont val="Segoe UI"/>
            <family val="2"/>
          </rPr>
          <t>Mukhametshina, Yulia (GP TP NSW BIC S EMEA TG OFM):</t>
        </r>
        <r>
          <rPr>
            <sz val="9"/>
            <color indexed="81"/>
            <rFont val="Segoe UI"/>
            <family val="2"/>
          </rPr>
          <t xml:space="preserve">
INFO creepage distance (CD):
CD = Um x SCD (IEC60815:1986)
CD = Um/√3 x RUSCD (IEC60815:2008</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Mukhametshina, Yulia (GP TP NSW BIC S EMEA TG OFM)</author>
  </authors>
  <commentList>
    <comment ref="F43" authorId="0" shapeId="0" xr:uid="{02DF0C94-C294-49C4-AE37-938582617588}">
      <text>
        <r>
          <rPr>
            <b/>
            <sz val="9"/>
            <color indexed="81"/>
            <rFont val="Segoe UI"/>
            <family val="2"/>
          </rPr>
          <t>Mukhametshina, Yulia (GP TP NSW BIC S EMEA TG OFM):</t>
        </r>
        <r>
          <rPr>
            <sz val="9"/>
            <color indexed="81"/>
            <rFont val="Segoe UI"/>
            <family val="2"/>
          </rPr>
          <t xml:space="preserve">
INFO creepage distance (CD):
CD = Um x SCD (IEC60815:1986)
CD = Um/√3 x RUSCD (IEC60815:2008</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Mukhametshina, Yulia (GP TP NSW BIC S EMEA TG OFM)</author>
  </authors>
  <commentList>
    <comment ref="F43" authorId="0" shapeId="0" xr:uid="{079A6259-B9E1-4EC1-9E33-C0106F37994C}">
      <text>
        <r>
          <rPr>
            <b/>
            <sz val="9"/>
            <color indexed="81"/>
            <rFont val="Segoe UI"/>
            <family val="2"/>
          </rPr>
          <t>Mukhametshina, Yulia (GP TP NSW BIC S EMEA TG OFM):</t>
        </r>
        <r>
          <rPr>
            <sz val="9"/>
            <color indexed="81"/>
            <rFont val="Segoe UI"/>
            <family val="2"/>
          </rPr>
          <t xml:space="preserve">
INFO creepage distance (CD):
CD = Um x SCD (IEC60815:1986)
CD = Um/√3 x RUSCD (IEC60815:2008</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<sst xmlns="http://schemas.openxmlformats.org/spreadsheetml/2006/main" count="4808" uniqueCount="1850">
  <si>
    <t>Projektkategorie</t>
  </si>
  <si>
    <t>Erdschluss</t>
  </si>
  <si>
    <t>Frequenz</t>
  </si>
  <si>
    <t>Leistung:</t>
  </si>
  <si>
    <t>-</t>
  </si>
  <si>
    <t>ohne</t>
  </si>
  <si>
    <t>K1</t>
  </si>
  <si>
    <t>K2</t>
  </si>
  <si>
    <t>K3</t>
  </si>
  <si>
    <t>K4</t>
  </si>
  <si>
    <t>K5</t>
  </si>
  <si>
    <t>K7</t>
  </si>
  <si>
    <t>K6</t>
  </si>
  <si>
    <t>Index</t>
  </si>
  <si>
    <t>A</t>
  </si>
  <si>
    <t>Fülldrücke</t>
  </si>
  <si>
    <t>Sprachen</t>
  </si>
  <si>
    <t>Deutsch</t>
  </si>
  <si>
    <t>Englisch</t>
  </si>
  <si>
    <t>Russisch</t>
  </si>
  <si>
    <t>Tschechisch</t>
  </si>
  <si>
    <t>Französisch</t>
  </si>
  <si>
    <t>Dichtewächter</t>
  </si>
  <si>
    <t>Schlagweite</t>
  </si>
  <si>
    <t>Anmerkungen:</t>
  </si>
  <si>
    <t>A = Neuentwicklung</t>
  </si>
  <si>
    <t>C = Kundenadaption eigene</t>
  </si>
  <si>
    <t>E = Standard</t>
  </si>
  <si>
    <t>F = Standard mit Typenprüfung</t>
  </si>
  <si>
    <t>R&amp;D</t>
  </si>
  <si>
    <t>GIF Engineering</t>
  </si>
  <si>
    <t>VCG123G05-1</t>
  </si>
  <si>
    <t>Länder</t>
  </si>
  <si>
    <t>Endkunde</t>
  </si>
  <si>
    <t>Amprion</t>
  </si>
  <si>
    <t>SWM</t>
  </si>
  <si>
    <t>Hydro One</t>
  </si>
  <si>
    <t>HQ</t>
  </si>
  <si>
    <t>AVACON</t>
  </si>
  <si>
    <t>TenneT</t>
  </si>
  <si>
    <t>Stehwechsel</t>
  </si>
  <si>
    <t>BIL</t>
  </si>
  <si>
    <t>?</t>
  </si>
  <si>
    <t>SIL</t>
  </si>
  <si>
    <t>Auftraggeber</t>
  </si>
  <si>
    <t>Trench CA</t>
  </si>
  <si>
    <t>Trench CN</t>
  </si>
  <si>
    <t>Trench F</t>
  </si>
  <si>
    <t>Trench I</t>
  </si>
  <si>
    <t>DB</t>
  </si>
  <si>
    <t>SGB</t>
  </si>
  <si>
    <t>SBG</t>
  </si>
  <si>
    <t>Stadtwerke München</t>
  </si>
  <si>
    <t>Betriebs-spannung</t>
  </si>
  <si>
    <t>Steh-wechsel</t>
  </si>
  <si>
    <t>EON</t>
  </si>
  <si>
    <t>Gruppe</t>
  </si>
  <si>
    <t>kV
Ebene</t>
  </si>
  <si>
    <t>DFW52</t>
  </si>
  <si>
    <t>BUS</t>
  </si>
  <si>
    <t>SAS</t>
  </si>
  <si>
    <t>PSVS</t>
  </si>
  <si>
    <t>CTG123-010-0175</t>
  </si>
  <si>
    <t>CTG123-020-0250</t>
  </si>
  <si>
    <t>DFP123E00</t>
  </si>
  <si>
    <t>DFS123E00</t>
  </si>
  <si>
    <t>SVAS</t>
  </si>
  <si>
    <t>VCG123G04</t>
  </si>
  <si>
    <t>SVS</t>
  </si>
  <si>
    <t>CTG145-010-0175</t>
  </si>
  <si>
    <t>CTG145-020-0250</t>
  </si>
  <si>
    <t>CTG145G07</t>
  </si>
  <si>
    <t>DFS145E00</t>
  </si>
  <si>
    <t>VCG145G04</t>
  </si>
  <si>
    <t>VCG145G05-1</t>
  </si>
  <si>
    <t>VTG123G05</t>
  </si>
  <si>
    <t>VTG170G00</t>
  </si>
  <si>
    <t>CTG245-030-0150</t>
  </si>
  <si>
    <t>CTG245-040-0300</t>
  </si>
  <si>
    <t>CTG245-050-0650</t>
  </si>
  <si>
    <t>DFP245E00</t>
  </si>
  <si>
    <t>DFS245E00</t>
  </si>
  <si>
    <t>VCG245G02</t>
  </si>
  <si>
    <t>VTG245G08</t>
  </si>
  <si>
    <t>CTG300-030-0150</t>
  </si>
  <si>
    <t>CTG300-040-0300</t>
  </si>
  <si>
    <t>CTG300-050-0650</t>
  </si>
  <si>
    <t>DFP300E00</t>
  </si>
  <si>
    <t>DFS300E00</t>
  </si>
  <si>
    <t>DFW300</t>
  </si>
  <si>
    <t>CTG362-040-0150</t>
  </si>
  <si>
    <t>CTG362-040-0300</t>
  </si>
  <si>
    <t>CTG362-050-0440</t>
  </si>
  <si>
    <t>CTG362G04</t>
  </si>
  <si>
    <t>CTG362G11</t>
  </si>
  <si>
    <t>DFP362E00</t>
  </si>
  <si>
    <t>DFS362E00</t>
  </si>
  <si>
    <t>VCG362G11</t>
  </si>
  <si>
    <t>VCG362G05</t>
  </si>
  <si>
    <t>VTG362G05-1</t>
  </si>
  <si>
    <t>CTG420-040-0150</t>
  </si>
  <si>
    <t>CTG420-050-0400</t>
  </si>
  <si>
    <t>CTG420G11</t>
  </si>
  <si>
    <t>DFP420E00</t>
  </si>
  <si>
    <t>DFS420-2000</t>
  </si>
  <si>
    <t>DFS420-2500</t>
  </si>
  <si>
    <t>DFS420-4000</t>
  </si>
  <si>
    <t>DFS420-5000</t>
  </si>
  <si>
    <t>DFS420E00</t>
  </si>
  <si>
    <t>DFS420L</t>
  </si>
  <si>
    <t>SPR420G01</t>
  </si>
  <si>
    <t>SPR</t>
  </si>
  <si>
    <t>VCG420G05</t>
  </si>
  <si>
    <t>VCG420G11</t>
  </si>
  <si>
    <t>VTG420G05-1</t>
  </si>
  <si>
    <t>VTG420G05-2</t>
  </si>
  <si>
    <t>VTG420G08</t>
  </si>
  <si>
    <t>CTG550G05</t>
  </si>
  <si>
    <t>DFP550E00</t>
  </si>
  <si>
    <t>DFS550E00</t>
  </si>
  <si>
    <t>VCG550G01</t>
  </si>
  <si>
    <t>VCG550G05</t>
  </si>
  <si>
    <t>VTG550G01</t>
  </si>
  <si>
    <t>VTG550G05-1</t>
  </si>
  <si>
    <t>DFP600E00</t>
  </si>
  <si>
    <t>CTG800G01</t>
  </si>
  <si>
    <t>CTG800G03</t>
  </si>
  <si>
    <t>CTG800G04</t>
  </si>
  <si>
    <t>CTG800G04-1</t>
  </si>
  <si>
    <t>CTG800G05</t>
  </si>
  <si>
    <t>DFP800E00</t>
  </si>
  <si>
    <t>DFS800-2000</t>
  </si>
  <si>
    <t>DFS800-4000</t>
  </si>
  <si>
    <t>DFS800-8000</t>
  </si>
  <si>
    <t>DFS800E00</t>
  </si>
  <si>
    <t>VCG800G01</t>
  </si>
  <si>
    <t>VTG800G01</t>
  </si>
  <si>
    <t>DFP1100E00</t>
  </si>
  <si>
    <t>DFS1100E00</t>
  </si>
  <si>
    <t>CKS 1000</t>
  </si>
  <si>
    <t>CKS 325</t>
  </si>
  <si>
    <t>CKS 350</t>
  </si>
  <si>
    <t>CKS 400</t>
  </si>
  <si>
    <t>CKS 600</t>
  </si>
  <si>
    <t>CKS 640</t>
  </si>
  <si>
    <t>CKS 750</t>
  </si>
  <si>
    <t>CKS 800</t>
  </si>
  <si>
    <t>Grundrahmen</t>
  </si>
  <si>
    <t>SON</t>
  </si>
  <si>
    <t>ISV770</t>
  </si>
  <si>
    <t>PRUEF1000</t>
  </si>
  <si>
    <t>PRUEF300</t>
  </si>
  <si>
    <t>PRUEF325</t>
  </si>
  <si>
    <t>PRUEF640</t>
  </si>
  <si>
    <t>PRUEF740</t>
  </si>
  <si>
    <t>PRUEF750</t>
  </si>
  <si>
    <t>PRÜF325</t>
  </si>
  <si>
    <t>Prüfanlage</t>
  </si>
  <si>
    <t>RP000001</t>
  </si>
  <si>
    <t>RS 800</t>
  </si>
  <si>
    <t>TT 300/10M</t>
  </si>
  <si>
    <t>GIF_Abnahme</t>
  </si>
  <si>
    <t>CTG420-050-0440</t>
  </si>
  <si>
    <t>CTG550-050-0150</t>
  </si>
  <si>
    <t>CTG550-050-0440</t>
  </si>
  <si>
    <t>VTG145G05</t>
  </si>
  <si>
    <t>DFW145</t>
  </si>
  <si>
    <t>DFS315</t>
  </si>
  <si>
    <t>DFW420</t>
  </si>
  <si>
    <t>DFW550</t>
  </si>
  <si>
    <t>DFW24</t>
  </si>
  <si>
    <t>DPS550E00</t>
  </si>
  <si>
    <t>VTG550G05-2</t>
  </si>
  <si>
    <t>CTG800-060-0600</t>
  </si>
  <si>
    <t>MAT GIF</t>
  </si>
  <si>
    <t>VCG245-040-0390</t>
  </si>
  <si>
    <t>CTG550-060-0600</t>
  </si>
  <si>
    <t>DCTG550G03</t>
  </si>
  <si>
    <t>VTP245-125-01</t>
  </si>
  <si>
    <t>VTP245-050-01</t>
  </si>
  <si>
    <t>VCG420-050-0440</t>
  </si>
  <si>
    <t>ISV</t>
  </si>
  <si>
    <t>CMI</t>
  </si>
  <si>
    <t>PMI</t>
  </si>
  <si>
    <t>200263-0101</t>
  </si>
  <si>
    <t>200263-0101-210083</t>
  </si>
  <si>
    <t>200263-0102</t>
  </si>
  <si>
    <t>200263-0103</t>
  </si>
  <si>
    <t>200263-0104</t>
  </si>
  <si>
    <t>200263-0104-210083</t>
  </si>
  <si>
    <t>200263-0106</t>
  </si>
  <si>
    <t>200269-0101</t>
  </si>
  <si>
    <t>200269-0102</t>
  </si>
  <si>
    <t>200270-0101</t>
  </si>
  <si>
    <t>200270-0102</t>
  </si>
  <si>
    <t>200270-0103</t>
  </si>
  <si>
    <t>200270-0104</t>
  </si>
  <si>
    <t>200270-0105</t>
  </si>
  <si>
    <t>20995805-207654</t>
  </si>
  <si>
    <t>21255003-210866</t>
  </si>
  <si>
    <t>22618702-210083</t>
  </si>
  <si>
    <t>22974403-210083</t>
  </si>
  <si>
    <t>22974403-54100-02</t>
  </si>
  <si>
    <t>22974410-210083</t>
  </si>
  <si>
    <t>25933401-210083</t>
  </si>
  <si>
    <t>ZB189101</t>
  </si>
  <si>
    <t>ZB189102</t>
  </si>
  <si>
    <t>ZB189103</t>
  </si>
  <si>
    <t>ZB189104</t>
  </si>
  <si>
    <t>ZB189105</t>
  </si>
  <si>
    <t>ZB189106</t>
  </si>
  <si>
    <t>ZB189107</t>
  </si>
  <si>
    <t>ZB189108</t>
  </si>
  <si>
    <t>ZB189109</t>
  </si>
  <si>
    <t>ZB291601</t>
  </si>
  <si>
    <t>ZB365701</t>
  </si>
  <si>
    <t>ZB365702</t>
  </si>
  <si>
    <t>ZB365703</t>
  </si>
  <si>
    <t>ZB365704</t>
  </si>
  <si>
    <t>ZB365705</t>
  </si>
  <si>
    <t>ZB365706</t>
  </si>
  <si>
    <t>ZB367101</t>
  </si>
  <si>
    <t>ZB367102</t>
  </si>
  <si>
    <t>ZB367103</t>
  </si>
  <si>
    <t>ZB367104</t>
  </si>
  <si>
    <t>ZB367105</t>
  </si>
  <si>
    <t>ZB367106</t>
  </si>
  <si>
    <t>ZB367107</t>
  </si>
  <si>
    <t>ZB367108</t>
  </si>
  <si>
    <t>ZB367109</t>
  </si>
  <si>
    <t>ZB367110</t>
  </si>
  <si>
    <t>ZB367111</t>
  </si>
  <si>
    <t>ZB367112</t>
  </si>
  <si>
    <t>ZB367113</t>
  </si>
  <si>
    <t>ZB367114</t>
  </si>
  <si>
    <t>ZB367115</t>
  </si>
  <si>
    <t>ZB367116</t>
  </si>
  <si>
    <t>ZB367118</t>
  </si>
  <si>
    <t>ZB474701</t>
  </si>
  <si>
    <t>ZB474702</t>
  </si>
  <si>
    <t>ZB474703</t>
  </si>
  <si>
    <t>ZB474704</t>
  </si>
  <si>
    <t>ZB474705</t>
  </si>
  <si>
    <t>ZB474706</t>
  </si>
  <si>
    <t>ZB474707</t>
  </si>
  <si>
    <t>ZB474708</t>
  </si>
  <si>
    <t>ZB474709</t>
  </si>
  <si>
    <t>ZB474712</t>
  </si>
  <si>
    <t>ZB474714</t>
  </si>
  <si>
    <t>ZB474715</t>
  </si>
  <si>
    <t>ZB474718</t>
  </si>
  <si>
    <t>ZB533301</t>
  </si>
  <si>
    <t>ZB562401</t>
  </si>
  <si>
    <t>ZB562402</t>
  </si>
  <si>
    <t>ZB562403</t>
  </si>
  <si>
    <t>ZB562404</t>
  </si>
  <si>
    <t>ZB562405</t>
  </si>
  <si>
    <t>ZB562407</t>
  </si>
  <si>
    <t>ZB562408</t>
  </si>
  <si>
    <t>ZB692101</t>
  </si>
  <si>
    <t>ZB692102</t>
  </si>
  <si>
    <t>ZB692103</t>
  </si>
  <si>
    <t>ZB692104</t>
  </si>
  <si>
    <t>ZB692105</t>
  </si>
  <si>
    <t>ZB692106</t>
  </si>
  <si>
    <t>ZB698001</t>
  </si>
  <si>
    <t>ZB698002</t>
  </si>
  <si>
    <t>ZB709401</t>
  </si>
  <si>
    <t>ZB709501</t>
  </si>
  <si>
    <t>ZB796901</t>
  </si>
  <si>
    <t>VTP362-050-01</t>
  </si>
  <si>
    <t>VTP362-100-01</t>
  </si>
  <si>
    <t>SAP Teile-bezeichnung</t>
  </si>
  <si>
    <t>Wandlertyp</t>
  </si>
  <si>
    <t>Prüftechnik</t>
  </si>
  <si>
    <t>Isolatoren</t>
  </si>
  <si>
    <t>chopped</t>
  </si>
  <si>
    <t>Schaltstoß-spannung</t>
  </si>
  <si>
    <t>Normen</t>
  </si>
  <si>
    <t>R&amp;D Absprache PL Eng.</t>
  </si>
  <si>
    <t>Spez Kriechweg</t>
  </si>
  <si>
    <t>Klemmentyp:</t>
  </si>
  <si>
    <t xml:space="preserve">Stromwandler - technische Daten </t>
  </si>
  <si>
    <t>Primärstrom:</t>
  </si>
  <si>
    <t>Kernbezeichnung:</t>
  </si>
  <si>
    <t>Sekundärstrom:</t>
  </si>
  <si>
    <t>Klasse:</t>
  </si>
  <si>
    <t>erweiterter Meßbereich:</t>
  </si>
  <si>
    <t>Kurzschlußstromfaktor</t>
  </si>
  <si>
    <t>Kssc</t>
  </si>
  <si>
    <t>thermischer Dauerstrom:</t>
  </si>
  <si>
    <t>I th/ Zeit</t>
  </si>
  <si>
    <t xml:space="preserve">Spannungswandler - technische Daten </t>
  </si>
  <si>
    <t>W1</t>
  </si>
  <si>
    <t>W2</t>
  </si>
  <si>
    <t>W3</t>
  </si>
  <si>
    <t>W4</t>
  </si>
  <si>
    <t>Bezeichnung Wicklungen:</t>
  </si>
  <si>
    <t>Sekundärspannung:</t>
  </si>
  <si>
    <t>max. Summenleistung:</t>
  </si>
  <si>
    <t>Ferro-Berechnung:</t>
  </si>
  <si>
    <t>Dämpfungsdrossel:</t>
  </si>
  <si>
    <t>Luftspalt:</t>
  </si>
  <si>
    <t>Kabelentladung:</t>
  </si>
  <si>
    <t>Alarmdruck 2</t>
  </si>
  <si>
    <t>Alarmdruck 1</t>
  </si>
  <si>
    <t>Farbaufbau</t>
  </si>
  <si>
    <t>Erdungsanschluss:</t>
  </si>
  <si>
    <t>Primäranschluss</t>
  </si>
  <si>
    <t>EnBW</t>
  </si>
  <si>
    <t xml:space="preserve">Trench Germany GIF   </t>
  </si>
  <si>
    <t>W5</t>
  </si>
  <si>
    <t>Sekundärstrom</t>
  </si>
  <si>
    <t>0,5S</t>
  </si>
  <si>
    <t>5P</t>
  </si>
  <si>
    <t>5PR</t>
  </si>
  <si>
    <t>10P</t>
  </si>
  <si>
    <t>10PR</t>
  </si>
  <si>
    <t>TPX</t>
  </si>
  <si>
    <t>TPY</t>
  </si>
  <si>
    <t>TPZ</t>
  </si>
  <si>
    <t>0,2S</t>
  </si>
  <si>
    <t>PX</t>
  </si>
  <si>
    <t>PXR</t>
  </si>
  <si>
    <t>IEC</t>
  </si>
  <si>
    <t>1 A</t>
  </si>
  <si>
    <t>5 A</t>
  </si>
  <si>
    <t>2x1 A</t>
  </si>
  <si>
    <t>2 A</t>
  </si>
  <si>
    <t>2A-1A-0,5 A</t>
  </si>
  <si>
    <t>0.15</t>
  </si>
  <si>
    <t>C10</t>
  </si>
  <si>
    <t>0.15S</t>
  </si>
  <si>
    <t>C20</t>
  </si>
  <si>
    <t>0.3</t>
  </si>
  <si>
    <t>C50</t>
  </si>
  <si>
    <t>0.6</t>
  </si>
  <si>
    <t>C100</t>
  </si>
  <si>
    <t>1.2</t>
  </si>
  <si>
    <t>C200</t>
  </si>
  <si>
    <t>C400</t>
  </si>
  <si>
    <t>C800</t>
  </si>
  <si>
    <t>E-0.04</t>
  </si>
  <si>
    <t>C1600</t>
  </si>
  <si>
    <t>E-0.2</t>
  </si>
  <si>
    <t>0.1</t>
  </si>
  <si>
    <t>0.2</t>
  </si>
  <si>
    <t>0.5</t>
  </si>
  <si>
    <t>0.9</t>
  </si>
  <si>
    <t>1.8</t>
  </si>
  <si>
    <t>2,5L800</t>
  </si>
  <si>
    <t>Druck-angabe LS</t>
  </si>
  <si>
    <t>Nummerierung</t>
  </si>
  <si>
    <t>SAS 145/7G</t>
  </si>
  <si>
    <t>IEEE C57.13</t>
  </si>
  <si>
    <t>BIL 
chopped</t>
  </si>
  <si>
    <t>Verantwortlichkeit 
Plan:</t>
  </si>
  <si>
    <t>VCG170G05-1</t>
  </si>
  <si>
    <t>SVAS 123/4G</t>
  </si>
  <si>
    <t>SVAS 145/4G</t>
  </si>
  <si>
    <t>SVAS 145/5G-1</t>
  </si>
  <si>
    <t>Penn Union No. 6000 Series</t>
  </si>
  <si>
    <t>Pakistan</t>
  </si>
  <si>
    <t>Iran</t>
  </si>
  <si>
    <t xml:space="preserve"> CAN/CSA</t>
  </si>
  <si>
    <t>Genauigkeitsklasse nach:</t>
  </si>
  <si>
    <t>Meßkern</t>
  </si>
  <si>
    <t>Schutzkern</t>
  </si>
  <si>
    <t>Ktd</t>
  </si>
  <si>
    <t>sek. Wicklungswiderstand</t>
  </si>
  <si>
    <t/>
  </si>
  <si>
    <t>mögliche Bürden (nur Meßkerne)</t>
  </si>
  <si>
    <t>erweiteter Meßbereich</t>
  </si>
  <si>
    <t>Primärpannung:</t>
  </si>
  <si>
    <t>[V]</t>
  </si>
  <si>
    <t>[VA]</t>
  </si>
  <si>
    <t>I [A]</t>
  </si>
  <si>
    <t>Übertromfaktor FS/</t>
  </si>
  <si>
    <t xml:space="preserve">Genauigkeits-Grenzfaktor </t>
  </si>
  <si>
    <t>Gerätetypen</t>
  </si>
  <si>
    <t>Aktivteile I</t>
  </si>
  <si>
    <t>Prüfwechselsannung sek</t>
  </si>
  <si>
    <t>%</t>
  </si>
  <si>
    <t>Rct [Ohm]</t>
  </si>
  <si>
    <t>Dimensionierungsfaktor</t>
  </si>
  <si>
    <t>Kniepunktspannung</t>
  </si>
  <si>
    <t>Magnetisierungssstrom</t>
  </si>
  <si>
    <t>Stromfluß</t>
  </si>
  <si>
    <t>Kerntyp</t>
  </si>
  <si>
    <t>Faktortyp</t>
  </si>
  <si>
    <t>Bemessungszeitkonstante</t>
  </si>
  <si>
    <t>Primär Tp [ms]</t>
  </si>
  <si>
    <t>Sekundär Ts [ms]</t>
  </si>
  <si>
    <r>
      <t>Ie [mA]</t>
    </r>
    <r>
      <rPr>
        <sz val="10"/>
        <color rgb="FF1F497D"/>
        <rFont val="Calibri"/>
        <family val="2"/>
      </rPr>
      <t xml:space="preserve"> </t>
    </r>
  </si>
  <si>
    <t>Nennspannungsfaktor Zeit:</t>
  </si>
  <si>
    <t>SF6 Anteil</t>
  </si>
  <si>
    <t>100% SF6</t>
  </si>
  <si>
    <t xml:space="preserve">Ek [V] </t>
  </si>
  <si>
    <t>Mag-Strom</t>
  </si>
  <si>
    <t>1. Stromfluß tal´ [ms]</t>
  </si>
  <si>
    <t>1. Stromfluß t´ [ms]</t>
  </si>
  <si>
    <t>2. Stromfluß t´´ [ms]</t>
  </si>
  <si>
    <t>2. Stromfluß tal´´ [ms]</t>
  </si>
  <si>
    <t>Totzeit ttfr [ms]</t>
  </si>
  <si>
    <t>Kriechweg</t>
  </si>
  <si>
    <t>2,5L10</t>
  </si>
  <si>
    <t>2,5L20</t>
  </si>
  <si>
    <t>2,5L100</t>
  </si>
  <si>
    <t>2,5L200</t>
  </si>
  <si>
    <t>2,5L400</t>
  </si>
  <si>
    <t>10L10</t>
  </si>
  <si>
    <t>10L20</t>
  </si>
  <si>
    <t>10L100</t>
  </si>
  <si>
    <t>10L200</t>
  </si>
  <si>
    <t>10L400</t>
  </si>
  <si>
    <t>10L800</t>
  </si>
  <si>
    <t>Klasse+sek.Spannung</t>
  </si>
  <si>
    <t>Durchgangswiderstand:</t>
  </si>
  <si>
    <t>Link auf Berechnungsblatt</t>
  </si>
  <si>
    <t>nur für Durchführungen</t>
  </si>
  <si>
    <t>50% SF6 / 50% N2</t>
  </si>
  <si>
    <t>DFS 315</t>
  </si>
  <si>
    <t>DFS  420 - 2000</t>
  </si>
  <si>
    <t>DFS  420 - 2500</t>
  </si>
  <si>
    <t>DFS  420 - 4000</t>
  </si>
  <si>
    <t>DFS  420 - 5000</t>
  </si>
  <si>
    <t>DFS  420L</t>
  </si>
  <si>
    <t>DFS  800 - 2000</t>
  </si>
  <si>
    <t>DFS  800 - 4000</t>
  </si>
  <si>
    <t>DFS  800 - 8000</t>
  </si>
  <si>
    <t>DFW 145</t>
  </si>
  <si>
    <t>DFW 24</t>
  </si>
  <si>
    <t>DFW 300</t>
  </si>
  <si>
    <t>DFW 420</t>
  </si>
  <si>
    <t>DFW 52</t>
  </si>
  <si>
    <t>DFW 550</t>
  </si>
  <si>
    <t>PSVS 145-100</t>
  </si>
  <si>
    <t>PSVS 420-100</t>
  </si>
  <si>
    <t>SAS 550/5G</t>
  </si>
  <si>
    <t>SAS 800/1G</t>
  </si>
  <si>
    <t>SAS 800/3G</t>
  </si>
  <si>
    <t>SAS 800/4G</t>
  </si>
  <si>
    <t>SAS 800/5G</t>
  </si>
  <si>
    <t>SVAS 362/5G</t>
  </si>
  <si>
    <t>SVAS 362/11G</t>
  </si>
  <si>
    <t>SVAS 420/5G</t>
  </si>
  <si>
    <t>SVAS 420/11G</t>
  </si>
  <si>
    <t>SVAS 550/1G</t>
  </si>
  <si>
    <t>SVAS 550/5G</t>
  </si>
  <si>
    <t>SVAS 800/1G</t>
  </si>
  <si>
    <t>SVS 123/3</t>
  </si>
  <si>
    <t>SVS 145/5</t>
  </si>
  <si>
    <t>SVS 170/0</t>
  </si>
  <si>
    <t>SVS 550/5-2</t>
  </si>
  <si>
    <t>SVS 800/1</t>
  </si>
  <si>
    <t>PRUEF 1000</t>
  </si>
  <si>
    <t>PRUEF 300</t>
  </si>
  <si>
    <t>PRUEF 325</t>
  </si>
  <si>
    <t>PRUEF 640</t>
  </si>
  <si>
    <t>PRUEF 740</t>
  </si>
  <si>
    <t>PRUEF 750</t>
  </si>
  <si>
    <t>nicht erf.</t>
  </si>
  <si>
    <t>entfällt</t>
  </si>
  <si>
    <t>DFP 1100</t>
  </si>
  <si>
    <t>DFP 123</t>
  </si>
  <si>
    <t>DFP 245</t>
  </si>
  <si>
    <t>DFP 300</t>
  </si>
  <si>
    <t>DFP 362</t>
  </si>
  <si>
    <t>DFP 420</t>
  </si>
  <si>
    <t>DFP 550</t>
  </si>
  <si>
    <t>DFP 600</t>
  </si>
  <si>
    <t>DFP 800</t>
  </si>
  <si>
    <t>DFS 1100</t>
  </si>
  <si>
    <t>DFS 145</t>
  </si>
  <si>
    <t>DFS 245</t>
  </si>
  <si>
    <t>DFS 300</t>
  </si>
  <si>
    <t>DFS 123</t>
  </si>
  <si>
    <t>DFS 362</t>
  </si>
  <si>
    <t>DFS 420</t>
  </si>
  <si>
    <t>DFS 550</t>
  </si>
  <si>
    <t>DFS  800</t>
  </si>
  <si>
    <t>SAS 123</t>
  </si>
  <si>
    <t>SAS 145</t>
  </si>
  <si>
    <t>SAS 245</t>
  </si>
  <si>
    <t>SAS 300</t>
  </si>
  <si>
    <t>SAS 362</t>
  </si>
  <si>
    <t>SAS 420</t>
  </si>
  <si>
    <t>SAS 550</t>
  </si>
  <si>
    <t>Bezeichnung Typenschild</t>
  </si>
  <si>
    <t>SAS 800</t>
  </si>
  <si>
    <t>DCT 550</t>
  </si>
  <si>
    <t>SVAS 245</t>
  </si>
  <si>
    <t>SPR 420</t>
  </si>
  <si>
    <t>SVAS 123</t>
  </si>
  <si>
    <t>SVAS 145</t>
  </si>
  <si>
    <t>SVAS 170</t>
  </si>
  <si>
    <t>SVAS 300</t>
  </si>
  <si>
    <t>SVAS 362</t>
  </si>
  <si>
    <t>SVAS 420</t>
  </si>
  <si>
    <t>SVAS 550</t>
  </si>
  <si>
    <t>SVAS 800</t>
  </si>
  <si>
    <t>SVS 123</t>
  </si>
  <si>
    <t>SVS 145</t>
  </si>
  <si>
    <t>SVS 170</t>
  </si>
  <si>
    <t>SVS 245</t>
  </si>
  <si>
    <t>SVS 362</t>
  </si>
  <si>
    <t>SVS 420</t>
  </si>
  <si>
    <t>SVS 550</t>
  </si>
  <si>
    <t>SVS 800</t>
  </si>
  <si>
    <t>SPR 245</t>
  </si>
  <si>
    <t>Kalibrierer Wandler?</t>
  </si>
  <si>
    <t>S</t>
  </si>
  <si>
    <t>Leckrate</t>
  </si>
  <si>
    <t>APG</t>
  </si>
  <si>
    <t>CEPS</t>
  </si>
  <si>
    <t>VCG245-050-0440</t>
  </si>
  <si>
    <t>Oberflächenschutz</t>
  </si>
  <si>
    <t>K</t>
  </si>
  <si>
    <t>Spanisch</t>
  </si>
  <si>
    <t>Ukraine</t>
  </si>
  <si>
    <t>USA</t>
  </si>
  <si>
    <t>45% SF6 / 55% N2</t>
  </si>
  <si>
    <t>Clean Air</t>
  </si>
  <si>
    <t>externe Eichung durch</t>
  </si>
  <si>
    <t>SVTI</t>
  </si>
  <si>
    <t>ISPESL</t>
  </si>
  <si>
    <t>SEV</t>
  </si>
  <si>
    <t>BEV</t>
  </si>
  <si>
    <t>Sonstige</t>
  </si>
  <si>
    <t>frei</t>
  </si>
  <si>
    <t>Kalibriert</t>
  </si>
  <si>
    <t>Umschaltung</t>
  </si>
  <si>
    <t>2-fach</t>
  </si>
  <si>
    <t>4-fach</t>
  </si>
  <si>
    <t>4-fach fest</t>
  </si>
  <si>
    <t>2-fach fest</t>
  </si>
  <si>
    <t>2x2</t>
  </si>
  <si>
    <t>LEW</t>
  </si>
  <si>
    <t>Verschmutzungsklasse</t>
  </si>
  <si>
    <t>Umax</t>
  </si>
  <si>
    <t>WS</t>
  </si>
  <si>
    <t>Wechselspannung</t>
  </si>
  <si>
    <t>Dokumentautomation</t>
  </si>
  <si>
    <t>BIL ja (1) / Nein (2)</t>
  </si>
  <si>
    <t>Schlagweite Isolatoren</t>
  </si>
  <si>
    <t>Korrekturfaktor Aufstellhöhe</t>
  </si>
  <si>
    <t>m</t>
  </si>
  <si>
    <t>Korrekturfaktor aus Höhenlage ab 1000m:</t>
  </si>
  <si>
    <t>errechnet</t>
  </si>
  <si>
    <t>Soll</t>
  </si>
  <si>
    <t>Biegekräfte Wandler</t>
  </si>
  <si>
    <t>Polnisch</t>
  </si>
  <si>
    <t>legt Berechnung fest</t>
  </si>
  <si>
    <t>nach GOST 15 mm/kV</t>
  </si>
  <si>
    <t>nach GOST 20 mm/kV</t>
  </si>
  <si>
    <t>nach GOST  22,5 mm/kV</t>
  </si>
  <si>
    <t>Ja</t>
  </si>
  <si>
    <t>Nein</t>
  </si>
  <si>
    <t>1-fach</t>
  </si>
  <si>
    <t>Nennspannungsfaktor dauernd:</t>
  </si>
  <si>
    <t>RAL 7033 Zementgrau - 210083</t>
  </si>
  <si>
    <t>RAL 7032 Kieselgrau - ZB7604</t>
  </si>
  <si>
    <t>RAL 7032 Kieselgrau - 256253</t>
  </si>
  <si>
    <t>RAL 7032 Kieselgrau - 256254</t>
  </si>
  <si>
    <t>RAL 8016 Mahagonibraun - 210212</t>
  </si>
  <si>
    <t>RAL 7035 Lichtgrau - 258878</t>
  </si>
  <si>
    <t>RAL 9018 Papyrusweiß - 209978</t>
  </si>
  <si>
    <t>RAL 9006 Weißaluminium - 207636</t>
  </si>
  <si>
    <t>RAL 9006 Weißaluminium - 215828</t>
  </si>
  <si>
    <t>RAL 6011 resedagrün - 265742</t>
  </si>
  <si>
    <t>RAL 1023 verkehrsgelb - 260425</t>
  </si>
  <si>
    <t>RAL 2009 verkehrsorange - 243228</t>
  </si>
  <si>
    <t>RAL 3000 feuerrot - 210378</t>
  </si>
  <si>
    <t>RAL 1013 perlweiß - 241889</t>
  </si>
  <si>
    <t>RAL 7033 Zementgrau - 242272</t>
  </si>
  <si>
    <t>RAL 9016 verkehrsweiß - 245115</t>
  </si>
  <si>
    <t>RAL 7032 keiselgrau - 245465</t>
  </si>
  <si>
    <t>RAL 9010 reinweiss - 238791</t>
  </si>
  <si>
    <t>RAL 7035 lichtgrau - 258879</t>
  </si>
  <si>
    <t>RAL 5013 kobaltblau - 214138</t>
  </si>
  <si>
    <t>RAL 7034 gelbgrau - 207444</t>
  </si>
  <si>
    <t>RAL 9002 grauweiß - 207575</t>
  </si>
  <si>
    <t>RAL 7030 steingrau - 210752</t>
  </si>
  <si>
    <t>RAL 1021 rapsgelb - 212987</t>
  </si>
  <si>
    <t>RAL 5012 lichtblau - 215104</t>
  </si>
  <si>
    <t>RAL 2004 reinorange - 214363</t>
  </si>
  <si>
    <t>RAL 6029 minzgrün - 214028</t>
  </si>
  <si>
    <t>RAL 7016 anthrazitgrau - 213486</t>
  </si>
  <si>
    <t>RAL 5018 türkisblau - 213306</t>
  </si>
  <si>
    <t>RAL 1014 elfenbein - 210099</t>
  </si>
  <si>
    <t>RAL 1014 elfenbein - 213844</t>
  </si>
  <si>
    <t>RAL 6021 blassgrün - 215759</t>
  </si>
  <si>
    <t>RAL 9010 reinweiß - 212651</t>
  </si>
  <si>
    <t>RAL 9010 reinweiß - 216950</t>
  </si>
  <si>
    <t>RAL 5007 brillantblau - 212336</t>
  </si>
  <si>
    <t>RAL 9016 verkehrsweiß - 211907</t>
  </si>
  <si>
    <t>RAL 9016 verkehrsweiß - 261052</t>
  </si>
  <si>
    <t>RAL 1013 perlweiß - 212897</t>
  </si>
  <si>
    <t>RAL 1013 perlweiß - 249273</t>
  </si>
  <si>
    <t>RAL 5019 capriblau - 208812</t>
  </si>
  <si>
    <t>RAL 7038 achatgrau - 210866</t>
  </si>
  <si>
    <t>RAL 7038 achatgrau - 214296</t>
  </si>
  <si>
    <t>RAL 7038 achatgrau - 261382</t>
  </si>
  <si>
    <t>RAL 7002 olivgrau - 211557</t>
  </si>
  <si>
    <t>RAL 7033 zementgrau - 213307</t>
  </si>
  <si>
    <t>RAL 7033 zementgrau - 216911</t>
  </si>
  <si>
    <t>RAL 7047 telegrau 4 - 217462</t>
  </si>
  <si>
    <t>RAL 2000 gelborange - 217970</t>
  </si>
  <si>
    <t>RAL 7000 fehgrau - 218365</t>
  </si>
  <si>
    <t>RAL 5010 enzianblau - 219079</t>
  </si>
  <si>
    <t>RAL 7036 platingrau - 219098</t>
  </si>
  <si>
    <t>Berechnung hat festgelegt:</t>
  </si>
  <si>
    <t>Umschaltung:</t>
  </si>
  <si>
    <t>I dyn</t>
  </si>
  <si>
    <t>VA</t>
  </si>
  <si>
    <t>Gültiger Wandlerpass:</t>
  </si>
  <si>
    <r>
      <t xml:space="preserve">Bemerkungen Spannungswandler:  </t>
    </r>
    <r>
      <rPr>
        <sz val="8"/>
        <color rgb="FFFF0000"/>
        <rFont val="Arial"/>
        <family val="2"/>
      </rPr>
      <t>( Bitte die Auswahlfelder der einzelnen Blöcke verwenden , Doppeleingaben in  Bemerkungsfeld sind zu vermeiden ! )</t>
    </r>
  </si>
  <si>
    <r>
      <t xml:space="preserve">Bemerkungen Stromwandler:  </t>
    </r>
    <r>
      <rPr>
        <sz val="8"/>
        <color rgb="FFFF0000"/>
        <rFont val="Arial"/>
        <family val="2"/>
      </rPr>
      <t>( Bitte die Auswahlfelder der einzelnen Blöcke verwenden , Doppeleingaben in Bemerkungsfeld sind zu vermeiden !  )</t>
    </r>
  </si>
  <si>
    <t>GOST 7746-2015</t>
  </si>
  <si>
    <t>GOST 1983-2015</t>
  </si>
  <si>
    <t>1250N (als Durchgang)</t>
  </si>
  <si>
    <t>2000N (als Durchgang)</t>
  </si>
  <si>
    <t>2500N (als Durchgang)</t>
  </si>
  <si>
    <t>3000N (als Durchgang)</t>
  </si>
  <si>
    <t>4000N (als Durchgang)</t>
  </si>
  <si>
    <t>5000N (als Durchgang)</t>
  </si>
  <si>
    <t>Auswahl Umschaltung</t>
  </si>
  <si>
    <t>60% SF6 / 40% N2</t>
  </si>
  <si>
    <t>DB601 grün - 222571</t>
  </si>
  <si>
    <t>Leistungsschilde vorauswahl auf Al. Silber geändert</t>
  </si>
  <si>
    <t>Schaltkontakte</t>
  </si>
  <si>
    <t>Manometer</t>
  </si>
  <si>
    <t>Art_DW_Kontakte</t>
  </si>
  <si>
    <t>Trafag</t>
  </si>
  <si>
    <t>EMD</t>
  </si>
  <si>
    <t>WIKA</t>
  </si>
  <si>
    <t>COMDE</t>
  </si>
  <si>
    <t>LANSO</t>
  </si>
  <si>
    <t>DW_Hersteller</t>
  </si>
  <si>
    <t>Antwort_N</t>
  </si>
  <si>
    <t>Antwort_J</t>
  </si>
  <si>
    <t>Kleine Skala + Referenzmessung</t>
  </si>
  <si>
    <t>Große Skala + Referenzmessung</t>
  </si>
  <si>
    <t>Große Skala + BiMetall-Messung</t>
  </si>
  <si>
    <t>Dichtewächter- und Druckdaten / Densimeter and pressure-specifications</t>
  </si>
  <si>
    <t>AD</t>
  </si>
  <si>
    <t>EN</t>
  </si>
  <si>
    <t>APAVA</t>
  </si>
  <si>
    <t>CAN/CSA</t>
  </si>
  <si>
    <t>Druckbehälter</t>
  </si>
  <si>
    <t>Druckventil:</t>
  </si>
  <si>
    <t>DN20</t>
  </si>
  <si>
    <t>DN8</t>
  </si>
  <si>
    <r>
      <rPr>
        <b/>
        <sz val="10"/>
        <rFont val="Arial"/>
        <family val="2"/>
      </rPr>
      <t>Dichtewächtertyp:</t>
    </r>
    <r>
      <rPr>
        <sz val="10"/>
        <rFont val="Arial"/>
        <family val="2"/>
      </rPr>
      <t xml:space="preserve"> / 
Densimeter-type:</t>
    </r>
  </si>
  <si>
    <r>
      <rPr>
        <b/>
        <sz val="10"/>
        <rFont val="Arial"/>
        <family val="2"/>
      </rPr>
      <t xml:space="preserve">Anzahl DW Schaltkontakte: </t>
    </r>
    <r>
      <rPr>
        <sz val="10"/>
        <rFont val="Arial"/>
        <family val="2"/>
      </rPr>
      <t>/ 
Densimeter Contacts:</t>
    </r>
  </si>
  <si>
    <r>
      <rPr>
        <b/>
        <sz val="10"/>
        <rFont val="Arial"/>
        <family val="2"/>
      </rPr>
      <t>DW-Prüfeinrichtung: /</t>
    </r>
    <r>
      <rPr>
        <sz val="10"/>
        <rFont val="Arial"/>
        <family val="2"/>
      </rPr>
      <t xml:space="preserve">
 Densimeter testing equipment:</t>
    </r>
  </si>
  <si>
    <r>
      <rPr>
        <b/>
        <sz val="10"/>
        <rFont val="Arial"/>
        <family val="2"/>
      </rPr>
      <t xml:space="preserve">Schutzschlauch DW-Kabel: </t>
    </r>
    <r>
      <rPr>
        <sz val="10"/>
        <rFont val="Arial"/>
        <family val="2"/>
      </rPr>
      <t xml:space="preserve">
/ Cable protection hose:</t>
    </r>
  </si>
  <si>
    <r>
      <rPr>
        <b/>
        <sz val="10"/>
        <rFont val="Arial"/>
        <family val="2"/>
      </rPr>
      <t>DW im KK verdrahtet:</t>
    </r>
    <r>
      <rPr>
        <sz val="10"/>
        <rFont val="Arial"/>
        <family val="2"/>
      </rPr>
      <t xml:space="preserve">
 / Densimeter wired in terminal box:</t>
    </r>
  </si>
  <si>
    <r>
      <rPr>
        <b/>
        <sz val="10"/>
        <rFont val="Arial"/>
        <family val="2"/>
      </rPr>
      <t>DW - Schaltkontakte &gt;&gt; bei fallendem Druck:</t>
    </r>
    <r>
      <rPr>
        <sz val="10"/>
        <rFont val="Arial"/>
        <family val="2"/>
      </rPr>
      <t xml:space="preserve">
Densimeter switching contacts &gt;&gt; with falling pressure:</t>
    </r>
  </si>
  <si>
    <r>
      <rPr>
        <b/>
        <sz val="10"/>
        <rFont val="Arial"/>
        <family val="2"/>
      </rPr>
      <t xml:space="preserve">DW-Hersteller: / </t>
    </r>
    <r>
      <rPr>
        <sz val="10"/>
        <rFont val="Arial"/>
        <family val="2"/>
      </rPr>
      <t>Densimeter brand:</t>
    </r>
  </si>
  <si>
    <t>Analogsignal</t>
  </si>
  <si>
    <t>4-20mA</t>
  </si>
  <si>
    <t>6,5-20mA</t>
  </si>
  <si>
    <t>Analogsignal:</t>
  </si>
  <si>
    <t>keine Auswahl</t>
  </si>
  <si>
    <t>Kommentare / weitere Auswahlfelder: Comments:</t>
  </si>
  <si>
    <r>
      <rPr>
        <b/>
        <sz val="10"/>
        <rFont val="Arial"/>
        <family val="2"/>
      </rPr>
      <t xml:space="preserve">Erdkontakte seperat geerdet: / </t>
    </r>
    <r>
      <rPr>
        <sz val="10"/>
        <rFont val="Arial"/>
        <family val="2"/>
      </rPr>
      <t xml:space="preserve">
Earthing contacts seperately grounded:</t>
    </r>
  </si>
  <si>
    <r>
      <rPr>
        <b/>
        <sz val="10"/>
        <rFont val="Arial"/>
        <family val="2"/>
      </rPr>
      <t>Mischgasanteil (SF6/N2) /CA:</t>
    </r>
    <r>
      <rPr>
        <sz val="10"/>
        <rFont val="Arial"/>
        <family val="2"/>
      </rPr>
      <t xml:space="preserve">
 / Mixed gas (SF6/N2) / CA:</t>
    </r>
  </si>
  <si>
    <t>max. Betriebsdruck</t>
  </si>
  <si>
    <r>
      <rPr>
        <b/>
        <sz val="10"/>
        <rFont val="Arial"/>
        <family val="2"/>
      </rPr>
      <t>Druckangabe im LS:</t>
    </r>
    <r>
      <rPr>
        <sz val="10"/>
        <rFont val="Arial"/>
        <family val="2"/>
      </rPr>
      <t xml:space="preserve">
 / Pressure info on ratingplate:</t>
    </r>
  </si>
  <si>
    <r>
      <rPr>
        <b/>
        <sz val="10"/>
        <rFont val="Arial"/>
        <family val="2"/>
      </rPr>
      <t xml:space="preserve">Druckfüllventil: </t>
    </r>
    <r>
      <rPr>
        <sz val="10"/>
        <rFont val="Arial"/>
        <family val="2"/>
      </rPr>
      <t>/ Filling-Valve:</t>
    </r>
  </si>
  <si>
    <t>Sekundärklemmenkasten / Secondary terminalbox</t>
  </si>
  <si>
    <r>
      <rPr>
        <b/>
        <sz val="10"/>
        <rFont val="Arial"/>
        <family val="2"/>
      </rPr>
      <t xml:space="preserve">Klemmenkastenart: </t>
    </r>
    <r>
      <rPr>
        <sz val="10"/>
        <rFont val="Arial"/>
        <family val="2"/>
      </rPr>
      <t>/ Design Terminalbox:</t>
    </r>
  </si>
  <si>
    <t>KK</t>
  </si>
  <si>
    <r>
      <rPr>
        <b/>
        <sz val="10"/>
        <rFont val="Arial"/>
        <family val="2"/>
      </rPr>
      <t>Klemmentype:</t>
    </r>
    <r>
      <rPr>
        <sz val="10"/>
        <rFont val="Arial"/>
        <family val="2"/>
      </rPr>
      <t xml:space="preserve"> / Connection clamps</t>
    </r>
  </si>
  <si>
    <r>
      <rPr>
        <b/>
        <sz val="10"/>
        <rFont val="Arial"/>
        <family val="2"/>
      </rPr>
      <t>Klemmentype DW:</t>
    </r>
    <r>
      <rPr>
        <sz val="10"/>
        <rFont val="Arial"/>
        <family val="2"/>
      </rPr>
      <t xml:space="preserve"> / Clamps for densimeter</t>
    </r>
  </si>
  <si>
    <t>Phoenix PT6</t>
  </si>
  <si>
    <t>Phoenix PT10</t>
  </si>
  <si>
    <t>Phoenix UK5N</t>
  </si>
  <si>
    <t>Phoenix UK10N</t>
  </si>
  <si>
    <t>Phoenix UKK10PV</t>
  </si>
  <si>
    <t>Wago Zugfederklemme</t>
  </si>
  <si>
    <t>Sonderwunsch Kunde &gt; Kommentarfeld</t>
  </si>
  <si>
    <r>
      <rPr>
        <b/>
        <sz val="10"/>
        <rFont val="Arial"/>
        <family val="2"/>
      </rPr>
      <t>Erdungsschiene:</t>
    </r>
    <r>
      <rPr>
        <sz val="10"/>
        <rFont val="Arial"/>
        <family val="2"/>
      </rPr>
      <t xml:space="preserve"> / Earthing bar</t>
    </r>
  </si>
  <si>
    <t>Erdung:</t>
  </si>
  <si>
    <t>Sicherungen</t>
  </si>
  <si>
    <r>
      <rPr>
        <b/>
        <sz val="10"/>
        <rFont val="Arial"/>
        <family val="2"/>
      </rPr>
      <t>Sollbruchstellen:</t>
    </r>
    <r>
      <rPr>
        <sz val="10"/>
        <rFont val="Arial"/>
        <family val="2"/>
      </rPr>
      <t xml:space="preserve"> / intended breaking points</t>
    </r>
  </si>
  <si>
    <r>
      <rPr>
        <b/>
        <sz val="10"/>
        <rFont val="Arial"/>
        <family val="2"/>
      </rPr>
      <t>Klemmenkastenheizung:</t>
    </r>
    <r>
      <rPr>
        <sz val="10"/>
        <rFont val="Arial"/>
        <family val="2"/>
      </rPr>
      <t xml:space="preserve"> / Terminalbox-heating</t>
    </r>
  </si>
  <si>
    <t>NO (Schließer)</t>
  </si>
  <si>
    <t>NC (Öffner)</t>
  </si>
  <si>
    <t>Keine Auswahl</t>
  </si>
  <si>
    <r>
      <rPr>
        <b/>
        <sz val="10"/>
        <rFont val="Arial"/>
        <family val="2"/>
      </rPr>
      <t>Abdeckung Kundenklemmen:</t>
    </r>
    <r>
      <rPr>
        <sz val="10"/>
        <rFont val="Arial"/>
        <family val="2"/>
      </rPr>
      <t xml:space="preserve"> / Cover of customer clamps</t>
    </r>
  </si>
  <si>
    <t>M40</t>
  </si>
  <si>
    <t>M32</t>
  </si>
  <si>
    <t>M25</t>
  </si>
  <si>
    <t>1x</t>
  </si>
  <si>
    <t>2x</t>
  </si>
  <si>
    <t>3x</t>
  </si>
  <si>
    <t>4x</t>
  </si>
  <si>
    <t>5x</t>
  </si>
  <si>
    <t>0x</t>
  </si>
  <si>
    <r>
      <rPr>
        <b/>
        <sz val="10"/>
        <rFont val="Arial"/>
        <family val="2"/>
      </rPr>
      <t>Material Leistungsschild:</t>
    </r>
    <r>
      <rPr>
        <sz val="10"/>
        <rFont val="Arial"/>
        <family val="2"/>
      </rPr>
      <t xml:space="preserve"> / Material of ratingplate</t>
    </r>
  </si>
  <si>
    <r>
      <rPr>
        <b/>
        <sz val="10"/>
        <rFont val="Arial"/>
        <family val="2"/>
      </rPr>
      <t>Sprache Leistungsschild:</t>
    </r>
    <r>
      <rPr>
        <sz val="10"/>
        <rFont val="Arial"/>
        <family val="2"/>
      </rPr>
      <t xml:space="preserve"> / Language on ratingplate</t>
    </r>
  </si>
  <si>
    <t>Leistungsschild</t>
  </si>
  <si>
    <t>Alu schwarz &amp; weiße Schrift</t>
  </si>
  <si>
    <t>Edelstahl silber &amp; schwarze Schrift</t>
  </si>
  <si>
    <t>Alu silber &amp; schwarze Schrift</t>
  </si>
  <si>
    <t>Oberflächenangaben / Survace requierements</t>
  </si>
  <si>
    <t>Lackierung A</t>
  </si>
  <si>
    <t>Lackierung B</t>
  </si>
  <si>
    <t>Lackanbringung am Wandler</t>
  </si>
  <si>
    <t>RAL - grün nach Vorlage -Q3:Q441</t>
  </si>
  <si>
    <t>keine Lackierung gefordert</t>
  </si>
  <si>
    <r>
      <rPr>
        <b/>
        <sz val="10"/>
        <rFont val="Arial"/>
        <family val="2"/>
      </rPr>
      <t>Lackaufbauforderung :</t>
    </r>
    <r>
      <rPr>
        <sz val="10"/>
        <rFont val="Arial"/>
        <family val="2"/>
      </rPr>
      <t xml:space="preserve"> 
/ Survace details</t>
    </r>
  </si>
  <si>
    <t>Schichtdicke</t>
  </si>
  <si>
    <t>Weitere Forderungen / Others</t>
  </si>
  <si>
    <r>
      <rPr>
        <b/>
        <sz val="10"/>
        <rFont val="Arial"/>
        <family val="2"/>
      </rPr>
      <t>Primäranschluss:</t>
    </r>
    <r>
      <rPr>
        <sz val="10"/>
        <rFont val="Arial"/>
        <family val="2"/>
      </rPr>
      <t xml:space="preserve"> / Primary connection</t>
    </r>
  </si>
  <si>
    <r>
      <rPr>
        <b/>
        <sz val="10"/>
        <rFont val="Arial"/>
        <family val="2"/>
      </rPr>
      <t>Erdungsanschluss:</t>
    </r>
    <r>
      <rPr>
        <sz val="10"/>
        <rFont val="Arial"/>
        <family val="2"/>
      </rPr>
      <t xml:space="preserve"> / Earthing connection</t>
    </r>
  </si>
  <si>
    <r>
      <rPr>
        <b/>
        <sz val="10"/>
        <rFont val="Arial"/>
        <family val="2"/>
      </rPr>
      <t>Beistellteile TG Seitig:</t>
    </r>
    <r>
      <rPr>
        <sz val="10"/>
        <rFont val="Arial"/>
        <family val="2"/>
      </rPr>
      <t xml:space="preserve"> / Additional delivery parts from TG</t>
    </r>
  </si>
  <si>
    <r>
      <rPr>
        <b/>
        <sz val="10"/>
        <rFont val="Arial"/>
        <family val="2"/>
      </rPr>
      <t xml:space="preserve">Doku-Sprache: </t>
    </r>
    <r>
      <rPr>
        <sz val="10"/>
        <rFont val="Arial"/>
        <family val="2"/>
      </rPr>
      <t>/ Language of ducuments</t>
    </r>
  </si>
  <si>
    <t>Falls abweichend:</t>
  </si>
  <si>
    <r>
      <rPr>
        <b/>
        <sz val="10"/>
        <rFont val="Arial"/>
        <family val="2"/>
      </rPr>
      <t xml:space="preserve">Wandlerpass: </t>
    </r>
    <r>
      <rPr>
        <sz val="10"/>
        <rFont val="Arial"/>
        <family val="2"/>
      </rPr>
      <t>/ Special short manual designed for Customer</t>
    </r>
  </si>
  <si>
    <t>Material</t>
  </si>
  <si>
    <t>Materialien:</t>
  </si>
  <si>
    <t>Schockindikatoren</t>
  </si>
  <si>
    <r>
      <t xml:space="preserve">Doku im KK: /
</t>
    </r>
    <r>
      <rPr>
        <sz val="10"/>
        <rFont val="Arial"/>
        <family val="2"/>
      </rPr>
      <t>Documents located in TB</t>
    </r>
  </si>
  <si>
    <t>Wandlerpass</t>
  </si>
  <si>
    <t>Handbuch</t>
  </si>
  <si>
    <t>Kontraktunterlagen</t>
  </si>
  <si>
    <t>Routinetestprotokoll</t>
  </si>
  <si>
    <t>Beilage</t>
  </si>
  <si>
    <t>Sonstiges:</t>
  </si>
  <si>
    <r>
      <rPr>
        <b/>
        <sz val="10"/>
        <rFont val="Arial"/>
        <family val="2"/>
      </rPr>
      <t>Hersteller ID-Nr. auf LS:</t>
    </r>
    <r>
      <rPr>
        <sz val="10"/>
        <rFont val="Arial"/>
        <family val="2"/>
      </rPr>
      <t xml:space="preserve"> / Supplier ID-nr. on ratingplate</t>
    </r>
  </si>
  <si>
    <r>
      <rPr>
        <b/>
        <sz val="10"/>
        <rFont val="Arial"/>
        <family val="2"/>
      </rPr>
      <t>Barcode auf LS:</t>
    </r>
    <r>
      <rPr>
        <sz val="10"/>
        <rFont val="Arial"/>
        <family val="2"/>
      </rPr>
      <t xml:space="preserve"> / Barcode on ratingplate</t>
    </r>
  </si>
  <si>
    <r>
      <rPr>
        <b/>
        <sz val="10"/>
        <rFont val="Arial"/>
        <family val="2"/>
      </rPr>
      <t xml:space="preserve">Typenprüfung nach o.g. Norm: </t>
    </r>
    <r>
      <rPr>
        <sz val="10"/>
        <rFont val="Arial"/>
        <family val="2"/>
      </rPr>
      <t>/ Typetest requiered</t>
    </r>
  </si>
  <si>
    <t>Erforderliche Prüfungen &amp; Sonderprüfungen / Internal tests &amp; special tests</t>
  </si>
  <si>
    <r>
      <rPr>
        <b/>
        <sz val="10"/>
        <rFont val="Arial"/>
        <family val="2"/>
      </rPr>
      <t xml:space="preserve">Externer Beobachter: </t>
    </r>
    <r>
      <rPr>
        <sz val="10"/>
        <rFont val="Arial"/>
        <family val="2"/>
      </rPr>
      <t>/ External observer</t>
    </r>
  </si>
  <si>
    <r>
      <rPr>
        <b/>
        <sz val="10"/>
        <rFont val="Arial"/>
        <family val="2"/>
      </rPr>
      <t>Haltespannung bei 1 bar abs.:</t>
    </r>
    <r>
      <rPr>
        <sz val="10"/>
        <rFont val="Arial"/>
        <family val="2"/>
      </rPr>
      <t xml:space="preserve"> / Voltage level on 1 bar a.</t>
    </r>
  </si>
  <si>
    <r>
      <rPr>
        <b/>
        <sz val="10"/>
        <rFont val="Arial"/>
        <family val="2"/>
      </rPr>
      <t>Erweiterte Typenprüfung:</t>
    </r>
    <r>
      <rPr>
        <sz val="10"/>
        <rFont val="Arial"/>
        <family val="2"/>
      </rPr>
      <t xml:space="preserve"> / Additional typtest requiered</t>
    </r>
  </si>
  <si>
    <r>
      <rPr>
        <b/>
        <sz val="10"/>
        <rFont val="Arial"/>
        <family val="2"/>
      </rPr>
      <t>SIL gefordert:</t>
    </r>
    <r>
      <rPr>
        <sz val="10"/>
        <rFont val="Arial"/>
        <family val="2"/>
      </rPr>
      <t xml:space="preserve"> / SIL requiered</t>
    </r>
  </si>
  <si>
    <r>
      <t xml:space="preserve">BIL gefordert: / 
</t>
    </r>
    <r>
      <rPr>
        <sz val="10"/>
        <rFont val="Arial"/>
        <family val="2"/>
      </rPr>
      <t>BIL requiered:</t>
    </r>
  </si>
  <si>
    <r>
      <rPr>
        <b/>
        <sz val="10"/>
        <rFont val="Arial"/>
        <family val="2"/>
      </rPr>
      <t>Magnetisierungskennlinie U:</t>
    </r>
    <r>
      <rPr>
        <sz val="10"/>
        <rFont val="Arial"/>
        <family val="2"/>
      </rPr>
      <t xml:space="preserve"> / Magnetization characteristic U</t>
    </r>
  </si>
  <si>
    <r>
      <rPr>
        <b/>
        <sz val="10"/>
        <rFont val="Arial"/>
        <family val="2"/>
      </rPr>
      <t>Magnetisierungskennlinie I:</t>
    </r>
    <r>
      <rPr>
        <sz val="10"/>
        <rFont val="Arial"/>
        <family val="2"/>
      </rPr>
      <t xml:space="preserve"> / Magnetization characteristic I</t>
    </r>
  </si>
  <si>
    <t>Position</t>
  </si>
  <si>
    <r>
      <t xml:space="preserve">Kunde: / </t>
    </r>
    <r>
      <rPr>
        <sz val="10"/>
        <rFont val="Arial"/>
        <family val="2"/>
      </rPr>
      <t>Customer:</t>
    </r>
  </si>
  <si>
    <r>
      <t xml:space="preserve">Endkunde: / </t>
    </r>
    <r>
      <rPr>
        <sz val="10"/>
        <rFont val="Arial"/>
        <family val="2"/>
      </rPr>
      <t>End-customer</t>
    </r>
  </si>
  <si>
    <r>
      <t xml:space="preserve">Land: / </t>
    </r>
    <r>
      <rPr>
        <sz val="10"/>
        <rFont val="Arial"/>
        <family val="2"/>
      </rPr>
      <t>Country</t>
    </r>
  </si>
  <si>
    <t>INAIL</t>
  </si>
  <si>
    <t>Stückzahl: / Pieces</t>
  </si>
  <si>
    <r>
      <t xml:space="preserve">Kundenauftragsnr.: </t>
    </r>
    <r>
      <rPr>
        <sz val="10"/>
        <rFont val="Arial"/>
        <family val="2"/>
      </rPr>
      <t>Customer order number</t>
    </r>
  </si>
  <si>
    <r>
      <t xml:space="preserve">Position: </t>
    </r>
    <r>
      <rPr>
        <sz val="10"/>
        <rFont val="Arial"/>
        <family val="2"/>
      </rPr>
      <t>/ Position</t>
    </r>
  </si>
  <si>
    <r>
      <t xml:space="preserve">Projektkategorie: / </t>
    </r>
    <r>
      <rPr>
        <sz val="8"/>
        <rFont val="Arial"/>
        <family val="2"/>
      </rPr>
      <t>Project category</t>
    </r>
  </si>
  <si>
    <t>B = Produktentwicklung</t>
  </si>
  <si>
    <t>D = Kundenadaption OEN</t>
  </si>
  <si>
    <r>
      <t xml:space="preserve">Angebots-Nr. : / </t>
    </r>
    <r>
      <rPr>
        <sz val="10"/>
        <rFont val="Arial"/>
        <family val="2"/>
      </rPr>
      <t>Offer Nr.</t>
    </r>
  </si>
  <si>
    <r>
      <t xml:space="preserve">Wandlergruppe: / 
</t>
    </r>
    <r>
      <rPr>
        <sz val="10"/>
        <rFont val="Arial"/>
        <family val="2"/>
      </rPr>
      <t>Product line</t>
    </r>
  </si>
  <si>
    <r>
      <t xml:space="preserve">Wandler SAP Nr. :
</t>
    </r>
    <r>
      <rPr>
        <sz val="9"/>
        <rFont val="Arial"/>
        <family val="2"/>
      </rPr>
      <t>Product SAP-Nr.</t>
    </r>
  </si>
  <si>
    <r>
      <rPr>
        <b/>
        <sz val="10"/>
        <rFont val="Arial"/>
        <family val="2"/>
      </rPr>
      <t>Wandlerbezeichnung auf LS:</t>
    </r>
    <r>
      <rPr>
        <sz val="10"/>
        <rFont val="Arial"/>
        <family val="2"/>
      </rPr>
      <t xml:space="preserve"> / Name on ratingplate</t>
    </r>
  </si>
  <si>
    <t>Neuerstellung DB</t>
  </si>
  <si>
    <t>Chopped</t>
  </si>
  <si>
    <r>
      <t xml:space="preserve">Vorschrift 1: / </t>
    </r>
    <r>
      <rPr>
        <sz val="10"/>
        <rFont val="Arial"/>
        <family val="2"/>
      </rPr>
      <t>Specification 1</t>
    </r>
  </si>
  <si>
    <r>
      <t xml:space="preserve">Kundenspezifikation: / </t>
    </r>
    <r>
      <rPr>
        <sz val="10"/>
        <rFont val="Arial"/>
        <family val="2"/>
      </rPr>
      <t>Customer specification</t>
    </r>
  </si>
  <si>
    <t>Um</t>
  </si>
  <si>
    <r>
      <t>Max. Betriebsspannung: /</t>
    </r>
    <r>
      <rPr>
        <sz val="10"/>
        <rFont val="Arial"/>
        <family val="2"/>
      </rPr>
      <t xml:space="preserve"> Max. operation voltage</t>
    </r>
  </si>
  <si>
    <r>
      <t>Aufstellhöhe</t>
    </r>
    <r>
      <rPr>
        <sz val="10"/>
        <rFont val="Arial"/>
        <family val="2"/>
      </rPr>
      <t>: / Installation high</t>
    </r>
  </si>
  <si>
    <r>
      <t xml:space="preserve">Stehblitzstoßspannung: / </t>
    </r>
    <r>
      <rPr>
        <sz val="10"/>
        <rFont val="Arial"/>
        <family val="2"/>
      </rPr>
      <t>Standing lightning impulse voltage</t>
    </r>
  </si>
  <si>
    <r>
      <t xml:space="preserve">Stehwechselspannung trocken: / 
</t>
    </r>
    <r>
      <rPr>
        <sz val="10"/>
        <rFont val="Arial"/>
        <family val="2"/>
      </rPr>
      <t xml:space="preserve">withstand voltage (dry) </t>
    </r>
  </si>
  <si>
    <r>
      <t xml:space="preserve">Umgebungstemperatur min. : </t>
    </r>
    <r>
      <rPr>
        <sz val="10"/>
        <rFont val="Arial"/>
        <family val="2"/>
      </rPr>
      <t>/ Ambient temperature min.</t>
    </r>
  </si>
  <si>
    <r>
      <t xml:space="preserve">Umgebungstemperatur max. : </t>
    </r>
    <r>
      <rPr>
        <sz val="10"/>
        <rFont val="Arial"/>
        <family val="2"/>
      </rPr>
      <t>/ Ambient temperature max.</t>
    </r>
  </si>
  <si>
    <t>BIL Chopped wave</t>
  </si>
  <si>
    <t xml:space="preserve">Prüfwechselspannung sekundär (1min.) </t>
  </si>
  <si>
    <t>Haltespannung bei 1 bar abs.:</t>
  </si>
  <si>
    <r>
      <t xml:space="preserve">Spez. Kriechweg: </t>
    </r>
    <r>
      <rPr>
        <sz val="10"/>
        <rFont val="Arial"/>
        <family val="2"/>
      </rPr>
      <t>/ spec. creepage distance</t>
    </r>
  </si>
  <si>
    <r>
      <t xml:space="preserve">Verschmutzungsklasse: </t>
    </r>
    <r>
      <rPr>
        <sz val="10"/>
        <rFont val="Arial"/>
        <family val="2"/>
      </rPr>
      <t xml:space="preserve">/ Pollution class </t>
    </r>
  </si>
  <si>
    <t>WA - U-Teil:</t>
  </si>
  <si>
    <r>
      <t xml:space="preserve">Min. Kriechweg: / </t>
    </r>
    <r>
      <rPr>
        <sz val="10"/>
        <rFont val="Arial"/>
        <family val="2"/>
      </rPr>
      <t>min. requiered creepage distance</t>
    </r>
  </si>
  <si>
    <r>
      <t>Isolatorauswahl Hersteller: /</t>
    </r>
    <r>
      <rPr>
        <sz val="10"/>
        <rFont val="Arial"/>
        <family val="2"/>
      </rPr>
      <t xml:space="preserve"> Insulator - Supplier</t>
    </r>
  </si>
  <si>
    <t>Isolatorhersteller</t>
  </si>
  <si>
    <t>Hersteller Trench Bamberg</t>
  </si>
  <si>
    <t>Negativ</t>
  </si>
  <si>
    <t>Anzahl</t>
  </si>
  <si>
    <t>nRW</t>
  </si>
  <si>
    <t>nCW</t>
  </si>
  <si>
    <t>nFW</t>
  </si>
  <si>
    <t>pRW</t>
  </si>
  <si>
    <t>pCW</t>
  </si>
  <si>
    <t>pFW</t>
  </si>
  <si>
    <t>FW= Fullwave ; RW=Reducedwave ; CW=Choppedwave</t>
  </si>
  <si>
    <t>Art</t>
  </si>
  <si>
    <t>CTG800G04-001</t>
  </si>
  <si>
    <t>CTG800G05-001</t>
  </si>
  <si>
    <t>VTG800G01-001</t>
  </si>
  <si>
    <t>VTG800G01-002</t>
  </si>
  <si>
    <t>CTG362G04-001</t>
  </si>
  <si>
    <t>CTG362G11-001</t>
  </si>
  <si>
    <t>CTG362G11-002</t>
  </si>
  <si>
    <t>CTG420-040-001</t>
  </si>
  <si>
    <t>CTG420-040-002</t>
  </si>
  <si>
    <t>CTG420-040-003</t>
  </si>
  <si>
    <t>CTG420-050-001</t>
  </si>
  <si>
    <t>CTG420-050-002</t>
  </si>
  <si>
    <t>CTG420-050-005</t>
  </si>
  <si>
    <t>CTG420-050-006</t>
  </si>
  <si>
    <t>CTG420-050-007</t>
  </si>
  <si>
    <t>CTG420-050-008</t>
  </si>
  <si>
    <t>CTG420-050-009</t>
  </si>
  <si>
    <t>CTG420-050-010</t>
  </si>
  <si>
    <t>CTG420-050-011</t>
  </si>
  <si>
    <t>CTG420-050-012</t>
  </si>
  <si>
    <t>CTG420-050-013</t>
  </si>
  <si>
    <t>CTG420-050-014</t>
  </si>
  <si>
    <t>CTG420G11-002</t>
  </si>
  <si>
    <t>CTG420G11-005</t>
  </si>
  <si>
    <t>CTG420G11-006</t>
  </si>
  <si>
    <t>CTG420G11-007</t>
  </si>
  <si>
    <t>CTG420G11-009</t>
  </si>
  <si>
    <t>OCT245-01</t>
  </si>
  <si>
    <t>OCT420-01</t>
  </si>
  <si>
    <t>SPR420-010-02</t>
  </si>
  <si>
    <t>TAG245-T33</t>
  </si>
  <si>
    <t>TAG420-T31</t>
  </si>
  <si>
    <t>TAG420-T31-001</t>
  </si>
  <si>
    <t>TAG420-T32</t>
  </si>
  <si>
    <t>TAG420-TXX</t>
  </si>
  <si>
    <t>TVG245-ACEA-01</t>
  </si>
  <si>
    <t>VCG245-040-001</t>
  </si>
  <si>
    <t>VCG245-040-003</t>
  </si>
  <si>
    <t>VCG245G02-001</t>
  </si>
  <si>
    <t>VCG300-040-0390</t>
  </si>
  <si>
    <t>VCG362-040-0390</t>
  </si>
  <si>
    <t>VCG362-050-0440</t>
  </si>
  <si>
    <t>VCG420G11-001</t>
  </si>
  <si>
    <t>VCG420G11-002</t>
  </si>
  <si>
    <t>VTA245-01</t>
  </si>
  <si>
    <t>VTA420-01</t>
  </si>
  <si>
    <t>VTA420-01-001</t>
  </si>
  <si>
    <t>VTA420-01-002</t>
  </si>
  <si>
    <t>VTG245-01</t>
  </si>
  <si>
    <t>VTG245-01-001</t>
  </si>
  <si>
    <t>VTG245G08-001</t>
  </si>
  <si>
    <t>VTG245G08-002</t>
  </si>
  <si>
    <t>VTG245G08-003</t>
  </si>
  <si>
    <t>VTG362-01</t>
  </si>
  <si>
    <t>VTG420-01</t>
  </si>
  <si>
    <t>VTG420G05-001</t>
  </si>
  <si>
    <t>VTG420G05-003</t>
  </si>
  <si>
    <t>VTG420G05-006</t>
  </si>
  <si>
    <t>VTG420G05-007</t>
  </si>
  <si>
    <t>VTG420G05-008</t>
  </si>
  <si>
    <t>VTG420G05-009</t>
  </si>
  <si>
    <t>VTG420G05-010</t>
  </si>
  <si>
    <t>VTG420G08-001</t>
  </si>
  <si>
    <t>VTP245-025-02</t>
  </si>
  <si>
    <t>VTP245-100-01</t>
  </si>
  <si>
    <t>VTP245-167-01</t>
  </si>
  <si>
    <t>VTP362-125-01</t>
  </si>
  <si>
    <t>VTP362-167-01</t>
  </si>
  <si>
    <t>VTP420-025-02</t>
  </si>
  <si>
    <t>VTP420-100-01</t>
  </si>
  <si>
    <t>CTG550-061-001</t>
  </si>
  <si>
    <t>CTG550-061-0600</t>
  </si>
  <si>
    <t>VTP550-050-01</t>
  </si>
  <si>
    <t>VTP550-125-01</t>
  </si>
  <si>
    <t>VTP550-167-01</t>
  </si>
  <si>
    <t>AVG145P010-0160</t>
  </si>
  <si>
    <t>CTA145-040-0390</t>
  </si>
  <si>
    <t>CTG123-010-008</t>
  </si>
  <si>
    <t>CTG123-020-001</t>
  </si>
  <si>
    <t>CTG123-020-010</t>
  </si>
  <si>
    <t>CTG145-040-004</t>
  </si>
  <si>
    <t>CTG145-040-008</t>
  </si>
  <si>
    <t>CTG145-040-0300</t>
  </si>
  <si>
    <t>TAG072-T39</t>
  </si>
  <si>
    <t>TAG072-T40</t>
  </si>
  <si>
    <t>TAG072-T41</t>
  </si>
  <si>
    <t>TAG072-TXX</t>
  </si>
  <si>
    <t>TAG145P010-0160</t>
  </si>
  <si>
    <t>TAG145-T35</t>
  </si>
  <si>
    <t>TAG145-T36</t>
  </si>
  <si>
    <t>TAG145-T36-001</t>
  </si>
  <si>
    <t>TAG145-TXX</t>
  </si>
  <si>
    <t>TAG170P020-0160</t>
  </si>
  <si>
    <t>TAG170-T37</t>
  </si>
  <si>
    <t>TAG170-T37-001</t>
  </si>
  <si>
    <t>TAG170-T38</t>
  </si>
  <si>
    <t>TAG170-T38-001</t>
  </si>
  <si>
    <t>TVG170-ACEA-01</t>
  </si>
  <si>
    <t>TVG170-ACEA-XX</t>
  </si>
  <si>
    <t>VCA072G05-001</t>
  </si>
  <si>
    <t>VCA072G05-1</t>
  </si>
  <si>
    <t>VCA123-040-0390</t>
  </si>
  <si>
    <t>VCA145-040-0390</t>
  </si>
  <si>
    <t>VCG072G05-001</t>
  </si>
  <si>
    <t>VCG072G05-001-LAG</t>
  </si>
  <si>
    <t>VCG123G04-001</t>
  </si>
  <si>
    <t>VCG123G05-001</t>
  </si>
  <si>
    <t>VCG123G05-002</t>
  </si>
  <si>
    <t>VCG123G05-003</t>
  </si>
  <si>
    <t>VCG123G05-013</t>
  </si>
  <si>
    <t>VCG123G05-014</t>
  </si>
  <si>
    <t>VCG123G05-018</t>
  </si>
  <si>
    <t>VCG123G05-020</t>
  </si>
  <si>
    <t>VCG123G05-021</t>
  </si>
  <si>
    <t>VCG145G04-001</t>
  </si>
  <si>
    <t>VCG145G05-001</t>
  </si>
  <si>
    <t>VCG145G05-001-LAG</t>
  </si>
  <si>
    <t>VCG145G05-002</t>
  </si>
  <si>
    <t>VCG170G05-001</t>
  </si>
  <si>
    <t>VCG170G05-001-LAG</t>
  </si>
  <si>
    <t>VCG170G05-002</t>
  </si>
  <si>
    <t>VTA145-01</t>
  </si>
  <si>
    <t>VTG072G05-001</t>
  </si>
  <si>
    <t>VTG123G05-001</t>
  </si>
  <si>
    <t>VTG123G05-002</t>
  </si>
  <si>
    <t>VTG123G05-003</t>
  </si>
  <si>
    <t>VTG123G05-006</t>
  </si>
  <si>
    <t>VTG123G05-008</t>
  </si>
  <si>
    <t>VTG145G03-001</t>
  </si>
  <si>
    <t>VTG145G03-002</t>
  </si>
  <si>
    <t>VTG145G05-001</t>
  </si>
  <si>
    <t>VTG170G05</t>
  </si>
  <si>
    <t>VTG170G05-001</t>
  </si>
  <si>
    <t>VTP072-050-01</t>
  </si>
  <si>
    <t>VTP123-025-02</t>
  </si>
  <si>
    <t>VTP145-025-02</t>
  </si>
  <si>
    <t>VTP145-050-01</t>
  </si>
  <si>
    <t>VTP145-100-01</t>
  </si>
  <si>
    <t>VTP170-025-02</t>
  </si>
  <si>
    <t>VTPA145-050-01</t>
  </si>
  <si>
    <t>SAS123</t>
  </si>
  <si>
    <t>SAA 145</t>
  </si>
  <si>
    <t>TAG 072</t>
  </si>
  <si>
    <t>TAG 145</t>
  </si>
  <si>
    <t>TAG 170</t>
  </si>
  <si>
    <t>TAG 245</t>
  </si>
  <si>
    <t>TAG 420</t>
  </si>
  <si>
    <t>TVG 170</t>
  </si>
  <si>
    <t>TVG 245</t>
  </si>
  <si>
    <t>SVAA 072</t>
  </si>
  <si>
    <t>SVAA 123</t>
  </si>
  <si>
    <t>SVAA 145</t>
  </si>
  <si>
    <t>SVAA 170</t>
  </si>
  <si>
    <t>SVA 145</t>
  </si>
  <si>
    <t>SVA 245</t>
  </si>
  <si>
    <t>SVA 420</t>
  </si>
  <si>
    <t>SVS 072</t>
  </si>
  <si>
    <t>PSVS 072</t>
  </si>
  <si>
    <t>PSVS 145</t>
  </si>
  <si>
    <t>PSVS 245</t>
  </si>
  <si>
    <t>PSVS 123</t>
  </si>
  <si>
    <t>VTP072-100-01</t>
  </si>
  <si>
    <t>VTP072-125-01</t>
  </si>
  <si>
    <t>PSVS 362</t>
  </si>
  <si>
    <t>PSVS 170</t>
  </si>
  <si>
    <t>PSVS 245-100</t>
  </si>
  <si>
    <t>PSVS 245-125</t>
  </si>
  <si>
    <t>PSVS 245-167</t>
  </si>
  <si>
    <t>PSVS 420</t>
  </si>
  <si>
    <t>PSVS 550</t>
  </si>
  <si>
    <t>PSVS 362-100</t>
  </si>
  <si>
    <t>PSVS 362-125</t>
  </si>
  <si>
    <t>PSVS 362-167</t>
  </si>
  <si>
    <t>PSVS 550-125</t>
  </si>
  <si>
    <t>PSVS 550-167</t>
  </si>
  <si>
    <t>Saver</t>
  </si>
  <si>
    <t>0-20mA</t>
  </si>
  <si>
    <r>
      <rPr>
        <b/>
        <sz val="10"/>
        <rFont val="Arial"/>
        <family val="2"/>
      </rPr>
      <t>DW zum Boden geneigt: /</t>
    </r>
    <r>
      <rPr>
        <sz val="10"/>
        <rFont val="Arial"/>
        <family val="2"/>
      </rPr>
      <t xml:space="preserve">
 Densimeter points to the ground (rotation):</t>
    </r>
  </si>
  <si>
    <r>
      <t xml:space="preserve">Zulässige Leckrate: </t>
    </r>
    <r>
      <rPr>
        <sz val="10"/>
        <rFont val="Arial"/>
        <family val="2"/>
      </rPr>
      <t>/ Permissible leakage rate:</t>
    </r>
  </si>
  <si>
    <t>Kommentar / Notes:</t>
  </si>
  <si>
    <t>CTG/CTA</t>
  </si>
  <si>
    <t>SAP Bez.</t>
  </si>
  <si>
    <t>1000KV PRÜFANLAGE</t>
  </si>
  <si>
    <t>300KV PRÜFANLAGE</t>
  </si>
  <si>
    <t>325KV PRÜFANLAGE</t>
  </si>
  <si>
    <t>640KV PRÜFANLAGE</t>
  </si>
  <si>
    <t>750KV PRÜFANLAGE</t>
  </si>
  <si>
    <t>AVG 145</t>
  </si>
  <si>
    <t>CTG 145 KV TERNA DESIGN T35</t>
  </si>
  <si>
    <t>CTG 145 KV TERNA DESIGN T36</t>
  </si>
  <si>
    <t>CTG 170 KV TERNA DESIGN T37</t>
  </si>
  <si>
    <t>CTG 170 KV TERNA DESIGN T38</t>
  </si>
  <si>
    <t>CTG 245 KV TERNA DESIGN T33</t>
  </si>
  <si>
    <t>CTG 420 KV TERNA DESIGN T31</t>
  </si>
  <si>
    <t>CTG 420 KV TERNA DESIGN T32</t>
  </si>
  <si>
    <t>CTG 72,5 KV TERNA DESIGN T39</t>
  </si>
  <si>
    <t>CTG 72,5 KV TERNA DESIGN T40</t>
  </si>
  <si>
    <t>CTG 72,5 KV TERNA DESIGN T41</t>
  </si>
  <si>
    <t>DFS 800</t>
  </si>
  <si>
    <t>DFS/DFP 420</t>
  </si>
  <si>
    <t>DPS 550</t>
  </si>
  <si>
    <t>PSVS 123-25</t>
  </si>
  <si>
    <t>PSVS 145-25</t>
  </si>
  <si>
    <t>PSVS 145-50</t>
  </si>
  <si>
    <t>PSVS 170-25</t>
  </si>
  <si>
    <t>PSVS 245-25</t>
  </si>
  <si>
    <t>PSVS 245-50</t>
  </si>
  <si>
    <t>PSVS 362-50</t>
  </si>
  <si>
    <t>PSVS 420-25</t>
  </si>
  <si>
    <t>REPARATUR GIF</t>
  </si>
  <si>
    <t>SAS 123 - EON VAR. 12</t>
  </si>
  <si>
    <t>SAS 123-010-0175 - CEPS - TYPE A</t>
  </si>
  <si>
    <t>SAS 123-020-0250 - CEPS - TYPE B</t>
  </si>
  <si>
    <t>SAS 145 - PLQ T2B</t>
  </si>
  <si>
    <t>SAS 145 - PLQ T4B</t>
  </si>
  <si>
    <t>SAS 362/11G - HQ - 2000A</t>
  </si>
  <si>
    <t>SAS 362/11G - HQ - 4000A</t>
  </si>
  <si>
    <t>SAS 362/4G - HYDRO ONE</t>
  </si>
  <si>
    <t>SAS 420 - TENNET-VAR.25 (NL)</t>
  </si>
  <si>
    <t>SAS 420 - TENNET-VAR.25A (NL)</t>
  </si>
  <si>
    <t>SAS 420 - TENNET-VAR.31</t>
  </si>
  <si>
    <t>SAS 420 - TENNET-VAR.31A</t>
  </si>
  <si>
    <t>SAS 420 - TENNET-VAR.31D</t>
  </si>
  <si>
    <t>SAS 420 - TENNET-VAR.31E</t>
  </si>
  <si>
    <t>SAS 420 - TENNET-VAR.31G</t>
  </si>
  <si>
    <t>SAS 420 - TENNET-VAR.31H</t>
  </si>
  <si>
    <t>SAS 420-040-0150 - CEPS TYPE E</t>
  </si>
  <si>
    <t>SAS 420-040-0150 - CEPS TYPE F</t>
  </si>
  <si>
    <t>SAS 420-040-0150 - CEPS TYPE G</t>
  </si>
  <si>
    <t>SAS 420-050-0440-APG-420_I_1200_2400_50</t>
  </si>
  <si>
    <t>SAS 420-050-0440-APG-420_I_1200_2400_63</t>
  </si>
  <si>
    <t>SAS 420-050-0440-APG-420_I_600_1200_50</t>
  </si>
  <si>
    <t>SAS 420-050-0440-APG-420_I_600_1200_63</t>
  </si>
  <si>
    <t>SAS 420/11G - MWB 4 FH POS 4.9</t>
  </si>
  <si>
    <t>SAS 420/11G - TENNET-VAR.31A</t>
  </si>
  <si>
    <t>SAS 420/11G - TENNET-VAR.31D</t>
  </si>
  <si>
    <t>SAS 420/11G - TENNET-VAR.31E</t>
  </si>
  <si>
    <t>SAS 420/11G - TENNET-VAR.31G</t>
  </si>
  <si>
    <t>SAS 550-061 - BC HYDRO</t>
  </si>
  <si>
    <t>SAS 765/4G - HQ</t>
  </si>
  <si>
    <t>SAS 765/5G - HQ</t>
  </si>
  <si>
    <t>SAS 800/4G (550KV)</t>
  </si>
  <si>
    <t>SAS 800/6G</t>
  </si>
  <si>
    <t>SSVAS 123/5G-1 - MWB 1 KR POS. 1.13B</t>
  </si>
  <si>
    <t>SSVAS 245/2G - MWB 2 KQA POS. 2.6C</t>
  </si>
  <si>
    <t>SSVAS 420/11G - MWB 4 KCB POS. 4.8B</t>
  </si>
  <si>
    <t>SSVAS 420/11G - MWB 4 KCC POS. 4.8C</t>
  </si>
  <si>
    <t>STERNPUNKTREAKTOR 420KV</t>
  </si>
  <si>
    <t>SVA 420 - TENNET-VAR.32</t>
  </si>
  <si>
    <t>SVA 420 - TENNET-VAR.32B</t>
  </si>
  <si>
    <t>SVAA 72,5/5G</t>
  </si>
  <si>
    <t>SVAA 72,5/5G - PPL</t>
  </si>
  <si>
    <t>SVAS 123 - 50HZ W123_K4X400-7K-200-II*_0</t>
  </si>
  <si>
    <t>SVAS 123/4G - ENBW TYP 1</t>
  </si>
  <si>
    <t>SVAS 123/5G</t>
  </si>
  <si>
    <t>SVAS 123/5G - ENBW TYP 2</t>
  </si>
  <si>
    <t>SVAS 123/5G - ENBW TYP 3</t>
  </si>
  <si>
    <t>SVAS 123/5G - EON VAR. 14A (ZUG)</t>
  </si>
  <si>
    <t>SVAS 123/5G - EON/EDIS VAR. 14A</t>
  </si>
  <si>
    <t>SVAS 123/5G-1 - CEPS TYPE C</t>
  </si>
  <si>
    <t>SVAS 123/5G-1 - CEPS TYPE D</t>
  </si>
  <si>
    <t>SVAS 145 - TATV132 COMB100</t>
  </si>
  <si>
    <t>SVAS 145 - TATV132 COMB800</t>
  </si>
  <si>
    <t>SVAS 145/4G - HQ</t>
  </si>
  <si>
    <t>SVAS 170 - TATV150 COMB100</t>
  </si>
  <si>
    <t>SVAS 170 - TATV150 COMB800</t>
  </si>
  <si>
    <t>SVAS 245 - 50HZ W245_K_4X500-7K-200-II_0</t>
  </si>
  <si>
    <t>SVAS 245-040-0390-APG-245_K_1200_2400_50</t>
  </si>
  <si>
    <t>SVAS 245-040-0390-APG-245_K_600_1200_50</t>
  </si>
  <si>
    <t>SVAS 72,5 - TATV66 COMB100</t>
  </si>
  <si>
    <t>SVS 123 - EON VAR. 13</t>
  </si>
  <si>
    <t>SVS 123 - EON VAR. 13B</t>
  </si>
  <si>
    <t>SVS 123 - EON VAR. 13B (ZUG)</t>
  </si>
  <si>
    <t>SVS 123/5</t>
  </si>
  <si>
    <t>SVS 123/5 - 50HZ W123-U_SYNCHRO-II*_0</t>
  </si>
  <si>
    <t>SVS 123/5 - CEPS</t>
  </si>
  <si>
    <t>SVS 145 - TV132</t>
  </si>
  <si>
    <t>SVS 145/3</t>
  </si>
  <si>
    <t>SVS 145/3 - 145 - HQ</t>
  </si>
  <si>
    <t>SVS 145/3 - 72,5 - HQ</t>
  </si>
  <si>
    <t>SVS 170 - TV150</t>
  </si>
  <si>
    <t>SVS 170/3</t>
  </si>
  <si>
    <t>SVS 170/5</t>
  </si>
  <si>
    <t>SVS 245-01 - MWB 2 GE POS. 2.7</t>
  </si>
  <si>
    <t>SVS 245/8 - 170 - HQ</t>
  </si>
  <si>
    <t>SVS 245/8 - 245 - HQ</t>
  </si>
  <si>
    <t>SVS 245/8 - CEPS</t>
  </si>
  <si>
    <t>SVS 362/5-1</t>
  </si>
  <si>
    <t>SVS 420/5</t>
  </si>
  <si>
    <t>SVS 420/5-2</t>
  </si>
  <si>
    <t>SVS 420/5-2 - APG-420_U_50</t>
  </si>
  <si>
    <t>SVS 420/5-2 - APG-420_U_63</t>
  </si>
  <si>
    <t>SVS 420/5-2 - MWB 4 GI POS. 4.10</t>
  </si>
  <si>
    <t>SVS 420/5-2 - MWB 4 GIA POS. 4.10A</t>
  </si>
  <si>
    <t>SVS 420/5-2 - TENNET-VAR. 32B/22B</t>
  </si>
  <si>
    <t>SVS 420/5-2 - TENNET-VAR.32</t>
  </si>
  <si>
    <t>SVS 420/5-2 - TENNET-VAR.32B</t>
  </si>
  <si>
    <t>SVS 420/8-1 - CEPS</t>
  </si>
  <si>
    <t>SVS 550/1 (SONDERAUFWAND!!)</t>
  </si>
  <si>
    <t>SVS 550/5</t>
  </si>
  <si>
    <t>SVS 72.5 - TV66</t>
  </si>
  <si>
    <t>SVS 765/1 - HQ - MAIS</t>
  </si>
  <si>
    <t>SVS 765/1 - HQ - STANDARD</t>
  </si>
  <si>
    <t>TAG 72,5</t>
  </si>
  <si>
    <t>TOCT 245</t>
  </si>
  <si>
    <t>TOCT 420</t>
  </si>
  <si>
    <t>VZF 550</t>
  </si>
  <si>
    <t>VTG/VTA</t>
  </si>
  <si>
    <t>VCG/VCA</t>
  </si>
  <si>
    <t>PSVS/PSVA</t>
  </si>
  <si>
    <r>
      <t xml:space="preserve">Abweichende Eingaben: / </t>
    </r>
    <r>
      <rPr>
        <sz val="10"/>
        <rFont val="Arial"/>
        <family val="2"/>
      </rPr>
      <t>different values</t>
    </r>
  </si>
  <si>
    <r>
      <rPr>
        <b/>
        <sz val="10"/>
        <rFont val="Arial"/>
        <family val="2"/>
      </rPr>
      <t>Druckangabe am Dichtewächter:</t>
    </r>
    <r>
      <rPr>
        <sz val="10"/>
        <rFont val="Arial"/>
        <family val="2"/>
      </rPr>
      <t xml:space="preserve"> / 
Pressure shown on the Densimeter:</t>
    </r>
  </si>
  <si>
    <r>
      <rPr>
        <b/>
        <sz val="10"/>
        <rFont val="Arial"/>
        <family val="2"/>
      </rPr>
      <t>Material Erdungsanschluss:</t>
    </r>
    <r>
      <rPr>
        <sz val="10"/>
        <rFont val="Arial"/>
        <family val="2"/>
      </rPr>
      <t xml:space="preserve"> / Material of earthing connection</t>
    </r>
  </si>
  <si>
    <t>CTG420-040-005</t>
  </si>
  <si>
    <t>SAS 420 - Tennet-Var.31e - Tank 4</t>
  </si>
  <si>
    <t>CTG420-040-004</t>
  </si>
  <si>
    <t>CTG420-040-006</t>
  </si>
  <si>
    <t>CTG420-040-007</t>
  </si>
  <si>
    <t>SAS 420 - Tennet-Var.31d - Tank 4</t>
  </si>
  <si>
    <t>SAS 420 - Tennet-Var.31g - Tank 4</t>
  </si>
  <si>
    <t>SAS 420 - Tennet-Var.31h - Tank 4</t>
  </si>
  <si>
    <t>WA - I-Teil:</t>
  </si>
  <si>
    <r>
      <t xml:space="preserve">Kernschale: / </t>
    </r>
    <r>
      <rPr>
        <sz val="10"/>
        <rFont val="Arial"/>
        <family val="2"/>
      </rPr>
      <t>Coreshell</t>
    </r>
  </si>
  <si>
    <t>CTG420-040-0240</t>
  </si>
  <si>
    <r>
      <rPr>
        <b/>
        <sz val="10"/>
        <rFont val="Arial"/>
        <family val="2"/>
      </rPr>
      <t>Taupunktmessung:</t>
    </r>
    <r>
      <rPr>
        <sz val="10"/>
        <rFont val="Arial"/>
        <family val="2"/>
      </rPr>
      <t xml:space="preserve"> / dew point measurement</t>
    </r>
  </si>
  <si>
    <r>
      <rPr>
        <b/>
        <sz val="10"/>
        <rFont val="Arial"/>
        <family val="2"/>
      </rPr>
      <t>Isolationswiderstandsmessung:</t>
    </r>
    <r>
      <rPr>
        <sz val="10"/>
        <rFont val="Arial"/>
        <family val="2"/>
      </rPr>
      <t xml:space="preserve"> / Insulation resistance measurement</t>
    </r>
  </si>
  <si>
    <r>
      <rPr>
        <b/>
        <sz val="10"/>
        <rFont val="Arial"/>
        <family val="2"/>
      </rPr>
      <t xml:space="preserve">Erweiterte Routinetests &amp; Sonderprüfungen :
</t>
    </r>
    <r>
      <rPr>
        <sz val="10"/>
        <rFont val="Arial"/>
        <family val="2"/>
      </rPr>
      <t xml:space="preserve"> / Additional routine tests requiered &amp; special tests</t>
    </r>
  </si>
  <si>
    <t>Thermische Grenzleistung [VA]
Thermischer Grenzstrom [A]</t>
  </si>
  <si>
    <t>SIEMENS Energy</t>
  </si>
  <si>
    <t>Deutsche Bahn</t>
  </si>
  <si>
    <t xml:space="preserve">CAN/CSA C 61869-2:14 </t>
  </si>
  <si>
    <t>CAN/CSA C 61869-3:14</t>
  </si>
  <si>
    <t>CAN/CSA C 61869-4:14</t>
  </si>
  <si>
    <t>CAN/CSA C 60044-1:07</t>
  </si>
  <si>
    <t>CAN/CSA C 60044-2:07</t>
  </si>
  <si>
    <t>5 kV</t>
  </si>
  <si>
    <t>n. bek.</t>
  </si>
  <si>
    <t>mit / with transmitter</t>
  </si>
  <si>
    <t xml:space="preserve"> ohne / without transmitter</t>
  </si>
  <si>
    <t>bar (rel./gauge)</t>
  </si>
  <si>
    <t>Frei wählbar / not specified</t>
  </si>
  <si>
    <t>Wechslend / change over</t>
  </si>
  <si>
    <t>Neigung</t>
  </si>
  <si>
    <t>10°</t>
  </si>
  <si>
    <t>25°</t>
  </si>
  <si>
    <t>30°</t>
  </si>
  <si>
    <t>40°</t>
  </si>
  <si>
    <t>45°</t>
  </si>
  <si>
    <t>n.a.</t>
  </si>
  <si>
    <t>1,0xUn</t>
  </si>
  <si>
    <t>1,1xUn</t>
  </si>
  <si>
    <t>1,2xUn</t>
  </si>
  <si>
    <t>1,5xUn for 30 sec.</t>
  </si>
  <si>
    <t>1,4xUn for 1 min.</t>
  </si>
  <si>
    <t>1,73xUn for 30 sec.</t>
  </si>
  <si>
    <t>1,9xUn for 30 sec.</t>
  </si>
  <si>
    <t>1,9xUn for 8h</t>
  </si>
  <si>
    <t>2,2xUn for 4h</t>
  </si>
  <si>
    <t>1,9xUn for 4h</t>
  </si>
  <si>
    <r>
      <t xml:space="preserve">Schaltstoßspannung SIL: / </t>
    </r>
    <r>
      <rPr>
        <sz val="9"/>
        <rFont val="Arial"/>
        <family val="2"/>
      </rPr>
      <t>switching impulse voltage</t>
    </r>
  </si>
  <si>
    <t>Dynamisch</t>
  </si>
  <si>
    <t>Statisch</t>
  </si>
  <si>
    <t>psig (rel./gauge)</t>
  </si>
  <si>
    <t>Mpa (rel./gauge)</t>
  </si>
  <si>
    <t>kPa (rel./gauge)</t>
  </si>
  <si>
    <t xml:space="preserve">Neigungswinkel: </t>
  </si>
  <si>
    <t>0,1% / p.a.</t>
  </si>
  <si>
    <t>0,3% / p.a.</t>
  </si>
  <si>
    <t>0,5% / p.a</t>
  </si>
  <si>
    <t>Klein Guß / small casted</t>
  </si>
  <si>
    <t>Groß Al / Big Al</t>
  </si>
  <si>
    <t>Klein Al / small Al</t>
  </si>
  <si>
    <t>Klein PSVS / small</t>
  </si>
  <si>
    <t>Groß PSVS / big</t>
  </si>
  <si>
    <t>Sonder PSVS / custom</t>
  </si>
  <si>
    <t xml:space="preserve">Bolzenklemme M10 (Trench) / Bolt </t>
  </si>
  <si>
    <t>m. Hilfsschalter / w. auxiliary switch</t>
  </si>
  <si>
    <t>o. Hilfsschalter / w.o. auxiliary switch</t>
  </si>
  <si>
    <t>CU</t>
  </si>
  <si>
    <t>Al</t>
  </si>
  <si>
    <t>Keine Forderung / not specified</t>
  </si>
  <si>
    <t>Nicht gefordert / not specified</t>
  </si>
  <si>
    <t>Eingebaut / mounted</t>
  </si>
  <si>
    <t>Lose mitliefern / supply part</t>
  </si>
  <si>
    <t>Bolzenanschluss / Bolt connection</t>
  </si>
  <si>
    <t xml:space="preserve">4xØ14,0 hole distance 60 x 60 mm (IEC) </t>
  </si>
  <si>
    <t>4xØ14,5 hole distance 44,5 x 44,5 mm (NEMA)</t>
  </si>
  <si>
    <t>3xØ14,5 hole distance 44,5 und 60 mm (IEC/NEMA)</t>
  </si>
  <si>
    <t>8xØ14,0 hole distance 44,5 x 44,5 mm (NEMA)</t>
  </si>
  <si>
    <t>4x D14,5, hole distance 44,5 x 60 mm (IEC/NEMA)</t>
  </si>
  <si>
    <t>2xØ14,5, hole distance 44,5 mm (NEMA)</t>
  </si>
  <si>
    <t>Al / St coated</t>
  </si>
  <si>
    <t>A2</t>
  </si>
  <si>
    <t>Remarks:</t>
  </si>
  <si>
    <t>kV</t>
  </si>
  <si>
    <t>Insulator</t>
  </si>
  <si>
    <t>Item</t>
  </si>
  <si>
    <t xml:space="preserve">Type </t>
  </si>
  <si>
    <t>Composite</t>
  </si>
  <si>
    <t>Total output power (PowerVT/SSVT)</t>
  </si>
  <si>
    <r>
      <t>Requested creepage distance (related to U</t>
    </r>
    <r>
      <rPr>
        <b/>
        <vertAlign val="subscript"/>
        <sz val="10"/>
        <rFont val="Arial"/>
        <family val="2"/>
      </rPr>
      <t>M</t>
    </r>
    <r>
      <rPr>
        <b/>
        <sz val="10"/>
        <rFont val="Arial"/>
        <family val="2"/>
      </rPr>
      <t>)</t>
    </r>
  </si>
  <si>
    <t>(mm/kV)</t>
  </si>
  <si>
    <t>Type</t>
  </si>
  <si>
    <t>Creepage distance*</t>
  </si>
  <si>
    <t>(mm)</t>
  </si>
  <si>
    <t>Standards</t>
  </si>
  <si>
    <t>Rated primary voltage (V)</t>
  </si>
  <si>
    <t>Rated secondary voltage (V)</t>
  </si>
  <si>
    <t>Insulation</t>
  </si>
  <si>
    <t>Output power burden (VA)</t>
  </si>
  <si>
    <t>HV Terminal</t>
  </si>
  <si>
    <t>Insulation class</t>
  </si>
  <si>
    <t>Ground Pad</t>
  </si>
  <si>
    <t>Leakage rate</t>
  </si>
  <si>
    <t>Design</t>
  </si>
  <si>
    <t>Sum max output power (thermal)</t>
  </si>
  <si>
    <t>(VA)</t>
  </si>
  <si>
    <t xml:space="preserve">Service conditions </t>
  </si>
  <si>
    <t>Contacts</t>
  </si>
  <si>
    <t>Open/Close</t>
  </si>
  <si>
    <t>Hybrid gas density monitor</t>
  </si>
  <si>
    <t>Altitude</t>
  </si>
  <si>
    <t>(m)</t>
  </si>
  <si>
    <t>Ambient temp. Min</t>
  </si>
  <si>
    <t>(°C)</t>
  </si>
  <si>
    <t>Filling valve</t>
  </si>
  <si>
    <t>Ambient temp. Max</t>
  </si>
  <si>
    <t>Short time current sym/time</t>
  </si>
  <si>
    <t>PT100</t>
  </si>
  <si>
    <t>Short time current asym</t>
  </si>
  <si>
    <t>Pressure relief device (rupture disc)</t>
  </si>
  <si>
    <t>Yes</t>
  </si>
  <si>
    <t>Lifting lugs</t>
  </si>
  <si>
    <t>Insulation coordination</t>
  </si>
  <si>
    <t>Rating plate</t>
  </si>
  <si>
    <t>Rated primary current (amps)</t>
  </si>
  <si>
    <t>Schematic diagram</t>
  </si>
  <si>
    <r>
      <t>Highest voltage U</t>
    </r>
    <r>
      <rPr>
        <b/>
        <sz val="6"/>
        <rFont val="Arial"/>
        <family val="2"/>
      </rPr>
      <t>M</t>
    </r>
  </si>
  <si>
    <t>(kV)</t>
  </si>
  <si>
    <t>Rated sec. current (amps)</t>
  </si>
  <si>
    <r>
      <t>Rated frequency f</t>
    </r>
    <r>
      <rPr>
        <b/>
        <sz val="6"/>
        <rFont val="Arial"/>
        <family val="2"/>
      </rPr>
      <t>R</t>
    </r>
  </si>
  <si>
    <t>(Hz)</t>
  </si>
  <si>
    <t>Over current factor FS</t>
  </si>
  <si>
    <t>Surface threatment</t>
  </si>
  <si>
    <t>Power frequency withstand voltage primary</t>
  </si>
  <si>
    <t>Rated power (VA)</t>
  </si>
  <si>
    <t>Power frequency withstand voltage secondary</t>
  </si>
  <si>
    <t>Extension (%)</t>
  </si>
  <si>
    <t xml:space="preserve">Power frequency withstand voltage HV neutral </t>
  </si>
  <si>
    <t>Sec. Resistance (ohm)</t>
  </si>
  <si>
    <t>Lightning impulse withstand voltage</t>
  </si>
  <si>
    <t>Knee point Ek (V)</t>
  </si>
  <si>
    <t>Switching impulse withstand voltage</t>
  </si>
  <si>
    <t>Magn. current (milli amps)</t>
  </si>
  <si>
    <t>Dimensions and Weight</t>
  </si>
  <si>
    <t>Short circuit factor KSSC</t>
  </si>
  <si>
    <t>Dimension factor Ktd</t>
  </si>
  <si>
    <t>Similar to outline drawings</t>
  </si>
  <si>
    <t xml:space="preserve">Electrical data </t>
  </si>
  <si>
    <t>Time constant primary Tp (ms)</t>
  </si>
  <si>
    <t>Time constant primary Ts (ms)</t>
  </si>
  <si>
    <t>General</t>
  </si>
  <si>
    <t>Current flow t' (milli seconds)</t>
  </si>
  <si>
    <t>Current flow tal' (milli seconds)</t>
  </si>
  <si>
    <t>Voltage fact.</t>
  </si>
  <si>
    <t>continuous</t>
  </si>
  <si>
    <t>Current flow t'' (milli seconds)</t>
  </si>
  <si>
    <t>short</t>
  </si>
  <si>
    <t>Current flow tal'' (milli seconds)</t>
  </si>
  <si>
    <t>Dead time ttfr (milli seconds)</t>
  </si>
  <si>
    <t>(V)</t>
  </si>
  <si>
    <t>Calibrated</t>
  </si>
  <si>
    <t>Nominal system voltage</t>
  </si>
  <si>
    <t>Accuracy class</t>
  </si>
  <si>
    <t>Secondary terminals (windings)</t>
  </si>
  <si>
    <t>Secondary terminals (GDM)</t>
  </si>
  <si>
    <t>Gas density monitor (GDM)</t>
  </si>
  <si>
    <t>GDM testing device</t>
  </si>
  <si>
    <t>GDM cable protection hose</t>
  </si>
  <si>
    <t>BIL chopped wave voltage</t>
  </si>
  <si>
    <t xml:space="preserve">Bolzenklemme M12 (Trench) / Bolt </t>
  </si>
  <si>
    <t>Accessories / additional information</t>
  </si>
  <si>
    <t>Applies for PowerVT / SSVT (if applicable)</t>
  </si>
  <si>
    <t>Additonal information (GDM)</t>
  </si>
  <si>
    <t>Accuracy limited factor</t>
  </si>
  <si>
    <t>Thermal limit (VA)</t>
  </si>
  <si>
    <t>Technical data sheet of</t>
  </si>
  <si>
    <t>English</t>
  </si>
  <si>
    <t>German</t>
  </si>
  <si>
    <t>French</t>
  </si>
  <si>
    <t>Spanish</t>
  </si>
  <si>
    <t>Technical data sheet for</t>
  </si>
  <si>
    <t>Technisches Datenblatt für</t>
  </si>
  <si>
    <t>Typ</t>
  </si>
  <si>
    <t>Isolierung</t>
  </si>
  <si>
    <t>Isolierstoffklasse</t>
  </si>
  <si>
    <t>Umgebungsbedingungen</t>
  </si>
  <si>
    <t>Aufstellhöhe</t>
  </si>
  <si>
    <t>Umgebungstemp. Min</t>
  </si>
  <si>
    <t>Umgebungstemp. Max</t>
  </si>
  <si>
    <t>Isolationskoordination</t>
  </si>
  <si>
    <t>Höchste Spannung UM</t>
  </si>
  <si>
    <t>Nennfrequenz fR</t>
  </si>
  <si>
    <t>Prüfwechselspannung primär</t>
  </si>
  <si>
    <t>Prüfwechselspannung sekundär</t>
  </si>
  <si>
    <t>Prüfwechselspannung X</t>
  </si>
  <si>
    <t>Blitzstoßspannung BIL</t>
  </si>
  <si>
    <t>Schaltstoßspannung SIL</t>
  </si>
  <si>
    <t xml:space="preserve">Abgeschnittener Blitzstoß </t>
  </si>
  <si>
    <t>Elektrische Daten</t>
  </si>
  <si>
    <t>Generell</t>
  </si>
  <si>
    <t>Spannungsfaktor</t>
  </si>
  <si>
    <t>dauernd</t>
  </si>
  <si>
    <t>kurz</t>
  </si>
  <si>
    <t>Rated system voltage</t>
  </si>
  <si>
    <t>Nennspannung Ph-Ph</t>
  </si>
  <si>
    <t>Nennspannung Ph-Erde</t>
  </si>
  <si>
    <t>Gültig für PowerVT /SSVT (wenn notwendig)</t>
  </si>
  <si>
    <t>Max. Ausgangsspannung (PowerVT / SSVT)</t>
  </si>
  <si>
    <t>Nennspannung primär (V)</t>
  </si>
  <si>
    <t>Nennspannung sekundär (V)</t>
  </si>
  <si>
    <t>Ausgangleistungs (VA)</t>
  </si>
  <si>
    <t>Genauigkeitsklasse</t>
  </si>
  <si>
    <t>Thermische Grenzleistung (VA)</t>
  </si>
  <si>
    <t>Summe thermische Grenzleistung (VA)</t>
  </si>
  <si>
    <t xml:space="preserve">Gültig für Stromwandler </t>
  </si>
  <si>
    <t xml:space="preserve">Gültig für PowerVT /SSVT oder Spannungswandler </t>
  </si>
  <si>
    <t xml:space="preserve">Applies for Current transformer active part </t>
  </si>
  <si>
    <t xml:space="preserve">Applies for PowerVT/SSVT or voltage transformer </t>
  </si>
  <si>
    <t>Kurzschlussstrom thermisch / Zeit</t>
  </si>
  <si>
    <t>Kurzschlussstrom dynamisch</t>
  </si>
  <si>
    <t>Nennstrom primär (A)</t>
  </si>
  <si>
    <t>Nennstrom sekundär (A)</t>
  </si>
  <si>
    <t>Überspannungsfaktor FS</t>
  </si>
  <si>
    <t>Leistung</t>
  </si>
  <si>
    <t>Erweiterter Messbereich (%)</t>
  </si>
  <si>
    <t>Sekundärwiderstand (ohm)</t>
  </si>
  <si>
    <t>Kniepunkt Ek (V)</t>
  </si>
  <si>
    <t>Magnetisierungsstrom (mA)</t>
  </si>
  <si>
    <t>Bemessungszeitkonstante primär Tp (ms)</t>
  </si>
  <si>
    <t>Bemessungszeitkonstante primär Ts (ms)</t>
  </si>
  <si>
    <t>Isolator</t>
  </si>
  <si>
    <t>Geforderter Kriechweg (bezogen auf UM)</t>
  </si>
  <si>
    <t>Kriechweg*</t>
  </si>
  <si>
    <t>Accessories / zusätzliche Informationen</t>
  </si>
  <si>
    <t>Erdungsanschluss</t>
  </si>
  <si>
    <t>Sekundärklemmen (Wicklungen)</t>
  </si>
  <si>
    <t>Sekundärklemmen (Dichtewächter)</t>
  </si>
  <si>
    <t>Zusatzinformationen Dichtwächter</t>
  </si>
  <si>
    <t>Dichtwächterprüfanschluss</t>
  </si>
  <si>
    <t>Schutzschlauch Dichtewächterkabel</t>
  </si>
  <si>
    <t>Hybriddichtewächter</t>
  </si>
  <si>
    <t>Füllventil</t>
  </si>
  <si>
    <t>Berstscheibe</t>
  </si>
  <si>
    <t>Hebeösen</t>
  </si>
  <si>
    <t>Schaltschild</t>
  </si>
  <si>
    <t>Oberflächenbehandlung</t>
  </si>
  <si>
    <t>Größe und Gewicht</t>
  </si>
  <si>
    <t>Ählich wie Maßbild</t>
  </si>
  <si>
    <t>Language</t>
  </si>
  <si>
    <t>Sprache</t>
  </si>
  <si>
    <t>VCG072G05-1</t>
  </si>
  <si>
    <t>VTG072G05</t>
  </si>
  <si>
    <t>VTG145G03-1</t>
  </si>
  <si>
    <r>
      <rPr>
        <b/>
        <sz val="10"/>
        <rFont val="Arial"/>
        <family val="2"/>
      </rPr>
      <t>Druckangaben</t>
    </r>
    <r>
      <rPr>
        <sz val="10"/>
        <rFont val="Arial"/>
        <family val="2"/>
      </rPr>
      <t xml:space="preserve"> / 
Pressure specification:</t>
    </r>
  </si>
  <si>
    <r>
      <t xml:space="preserve">Nennfülldruck rel. / </t>
    </r>
    <r>
      <rPr>
        <sz val="10"/>
        <rFont val="Arial"/>
        <family val="2"/>
      </rPr>
      <t>Filling pressure</t>
    </r>
  </si>
  <si>
    <r>
      <t xml:space="preserve">Alarmdruck 1 rel. / </t>
    </r>
    <r>
      <rPr>
        <sz val="10"/>
        <rFont val="Arial"/>
        <family val="2"/>
      </rPr>
      <t>1 Alarm</t>
    </r>
  </si>
  <si>
    <r>
      <t xml:space="preserve">Alarmdruck 2 rel. / </t>
    </r>
    <r>
      <rPr>
        <sz val="10"/>
        <rFont val="Arial"/>
        <family val="2"/>
      </rPr>
      <t>2 Alarm</t>
    </r>
  </si>
  <si>
    <r>
      <t xml:space="preserve">Druck f. elektr. Prüfungen rel. / 
</t>
    </r>
    <r>
      <rPr>
        <sz val="10"/>
        <rFont val="Arial"/>
        <family val="2"/>
      </rPr>
      <t>Pressure for electrical tests</t>
    </r>
  </si>
  <si>
    <r>
      <t xml:space="preserve">Betriebsspannung/Leistung / 
</t>
    </r>
    <r>
      <rPr>
        <sz val="9"/>
        <rFont val="Arial"/>
        <family val="2"/>
      </rPr>
      <t>Operating voltage of heater:</t>
    </r>
  </si>
  <si>
    <t>RAL 9006 - 207636 (120-240µm)</t>
  </si>
  <si>
    <t>RAL - grün n. Vorlage -210951 (120-240µm)</t>
  </si>
  <si>
    <t>RAL 1013 - 212897 (120-240µm)</t>
  </si>
  <si>
    <t>RAL 1013 - 241889 (200-320µm)</t>
  </si>
  <si>
    <t>RAL 1013 - 249273 (360-480µm)</t>
  </si>
  <si>
    <t>RAL 1014 - 210099 (120-240µm)</t>
  </si>
  <si>
    <t>RAL 1014 - 213844 (120-240µm)</t>
  </si>
  <si>
    <t>RAL 1021 - 212987 (120-240µm)</t>
  </si>
  <si>
    <t>RAL 1023 - 260425 (120-240µm)</t>
  </si>
  <si>
    <t>RAL 9010 - 212651 (120-240µm)</t>
  </si>
  <si>
    <t>RAL 9010 - 216950 (120-240µm)</t>
  </si>
  <si>
    <t>RAL 9010 - 238791 (240-360µm)</t>
  </si>
  <si>
    <t>RAL 2000 - 217970 (120-240µm)</t>
  </si>
  <si>
    <t>RAL 2004 - 214363 (120-240µm)</t>
  </si>
  <si>
    <t>RAL 2009 - 243228 (160-280µm)</t>
  </si>
  <si>
    <t>RAL 3000 - 210378 (120-240µm)</t>
  </si>
  <si>
    <t>RAL 5007 - 212336 (120-240µm)</t>
  </si>
  <si>
    <t>RAL 5010 - 219079 (120-240µm)</t>
  </si>
  <si>
    <t>RAL 5012 - 215104 (120-240µm)</t>
  </si>
  <si>
    <t>RAL 5013 - 214138 (120-240µm)</t>
  </si>
  <si>
    <t>RAL 5018 - 213306 (120-240µm)</t>
  </si>
  <si>
    <t>RAL 5019 - 208812 (120-240µm)</t>
  </si>
  <si>
    <t>RAL 6011 - 265742 (120-240µm)</t>
  </si>
  <si>
    <t>RAL 6021 - 215759 (120-240µm)</t>
  </si>
  <si>
    <t>RAL 6029 - 214028 (120-240µm)</t>
  </si>
  <si>
    <t>RAL 7000 - 218365 (120-240µm)</t>
  </si>
  <si>
    <t>RAL 7002 - 211557 (120-240µm)</t>
  </si>
  <si>
    <t>RAL 7016 - 213486 (120-240µm)</t>
  </si>
  <si>
    <t>RAL 7030 - 210752 (120-240µm)</t>
  </si>
  <si>
    <t>RAL 7032 - 245465 (280-400µm)</t>
  </si>
  <si>
    <t>RAL 7032 - 256253 (120-240µm)</t>
  </si>
  <si>
    <t>RAL 7032 - 256254 (200-320µm)</t>
  </si>
  <si>
    <t>RAL 7032 - ZB7604 (120-240µm)</t>
  </si>
  <si>
    <t>RAL 7034 - 207444 (120-240µm)</t>
  </si>
  <si>
    <t>RAL 7035 - 258878 (120-240µm)</t>
  </si>
  <si>
    <t>RAL 7035 - 258879 (200-320µm)</t>
  </si>
  <si>
    <t>RAL 7036 - 219098 (120-240µm)</t>
  </si>
  <si>
    <t>RAL 7038 - 210866 (120-240µm)</t>
  </si>
  <si>
    <t>RAL 7038 - 214296 (200-320µm)</t>
  </si>
  <si>
    <t>RAL 7038 - 261382 (200-320µm)</t>
  </si>
  <si>
    <t>RAL 7047 - 217462 (120-240µm)</t>
  </si>
  <si>
    <t>RAL 8016 - 210212 (120-240µm)</t>
  </si>
  <si>
    <t>RAL 9002 - 207575 (120-240µm)</t>
  </si>
  <si>
    <t>RAL 9006 - 215828 (160-280µm)</t>
  </si>
  <si>
    <t>RAL 9016 - 211907 (120-240µm)</t>
  </si>
  <si>
    <t>RAL 9016 - 245115 (200-320µm)</t>
  </si>
  <si>
    <t>RAL 9016 - 261052 (280-400µm)</t>
  </si>
  <si>
    <t>RAL 9018 - 209978 (120-240µm)</t>
  </si>
  <si>
    <t>DB601 - 222571 (280-400µm)</t>
  </si>
  <si>
    <t>CTG245-040-0390</t>
  </si>
  <si>
    <t>SPR420-020-01</t>
  </si>
  <si>
    <t>VTG123G03-1</t>
  </si>
  <si>
    <t>VTG170G03-1</t>
  </si>
  <si>
    <t>Not specified</t>
  </si>
  <si>
    <t>Al without painting; St zincked (verzinkt)</t>
  </si>
  <si>
    <t>Other specification</t>
  </si>
  <si>
    <r>
      <t xml:space="preserve">Hilfsschalterart /
</t>
    </r>
    <r>
      <rPr>
        <sz val="9"/>
        <rFont val="Arial"/>
        <family val="2"/>
      </rPr>
      <t>Auxiliary Contacts:</t>
    </r>
  </si>
  <si>
    <t>Spez. Kundenforderung =&gt; Kommentarfeld</t>
  </si>
  <si>
    <t>Munsell light grey - 207654</t>
  </si>
  <si>
    <t>Munsell light grey - 207654 (120-240µm)</t>
  </si>
  <si>
    <r>
      <rPr>
        <b/>
        <sz val="10"/>
        <rFont val="Arial"/>
        <family val="2"/>
      </rPr>
      <t>Kabelverschraubungen:</t>
    </r>
    <r>
      <rPr>
        <sz val="10"/>
        <rFont val="Arial"/>
        <family val="2"/>
      </rPr>
      <t xml:space="preserve"> /Cableglands</t>
    </r>
  </si>
  <si>
    <t>V1.3 : Sensgear hinzugefügt.</t>
  </si>
  <si>
    <r>
      <rPr>
        <b/>
        <sz val="10"/>
        <rFont val="Arial"/>
        <family val="2"/>
      </rPr>
      <t xml:space="preserve">Sensgear-Box gefordert: </t>
    </r>
    <r>
      <rPr>
        <sz val="10"/>
        <rFont val="Arial"/>
        <family val="2"/>
      </rPr>
      <t>/ Sensgear requiered:</t>
    </r>
  </si>
  <si>
    <t>VTPA245-125-01</t>
  </si>
  <si>
    <t>PSVA 245-125</t>
  </si>
  <si>
    <t>PSVA 145-50</t>
  </si>
  <si>
    <t>VTPA145-025-02</t>
  </si>
  <si>
    <t>PSVA 145-25</t>
  </si>
  <si>
    <t>VCG170G04</t>
  </si>
  <si>
    <t>SVAS170/4G</t>
  </si>
  <si>
    <t>VTG245-01-002</t>
  </si>
  <si>
    <t>SVS 245 - Tennet-Var.22b</t>
  </si>
  <si>
    <t>TVG145-010-050</t>
  </si>
  <si>
    <t>TVG245-ACEA-XX</t>
  </si>
  <si>
    <t>TVG072-010-050</t>
  </si>
  <si>
    <t>TVG170P010-050</t>
  </si>
  <si>
    <t>TVG170P020-100</t>
  </si>
  <si>
    <t>TVG245P020-100</t>
  </si>
  <si>
    <t>TVG 72,5</t>
  </si>
  <si>
    <t>TVG 145</t>
  </si>
  <si>
    <t>72 kV</t>
  </si>
  <si>
    <t>145 kV</t>
  </si>
  <si>
    <t>AVG170-020-0160</t>
  </si>
  <si>
    <t>AVG170P020-0160</t>
  </si>
  <si>
    <t>VCA145-022-0250</t>
  </si>
  <si>
    <t>VCA123-022-0250</t>
  </si>
  <si>
    <t>VCA145-022-0185</t>
  </si>
  <si>
    <t>VCA245-041-0520</t>
  </si>
  <si>
    <t>VCA362G05</t>
  </si>
  <si>
    <t>VCA420G05</t>
  </si>
  <si>
    <t>VCA170-022-0185</t>
  </si>
  <si>
    <t>SVAA 245</t>
  </si>
  <si>
    <t>SVAA 362</t>
  </si>
  <si>
    <t>SVAA 420</t>
  </si>
  <si>
    <t>170 kV</t>
  </si>
  <si>
    <t>245 kV</t>
  </si>
  <si>
    <t>362 kV</t>
  </si>
  <si>
    <t>420 kV</t>
  </si>
  <si>
    <t>CTA145-040-0300</t>
  </si>
  <si>
    <t>CTA123-022-0250</t>
  </si>
  <si>
    <t>CTA145-022-0185</t>
  </si>
  <si>
    <t>CTA145-022-0250</t>
  </si>
  <si>
    <t>CTA170-022-0185</t>
  </si>
  <si>
    <t>CTA245-041-0520</t>
  </si>
  <si>
    <t>CTA362G05</t>
  </si>
  <si>
    <t>CTA420G05</t>
  </si>
  <si>
    <t>SAA 123</t>
  </si>
  <si>
    <t>SAA 170</t>
  </si>
  <si>
    <t>SAA 245</t>
  </si>
  <si>
    <t>SAA 362</t>
  </si>
  <si>
    <t>SAA 420</t>
  </si>
  <si>
    <t>DCTG550G01</t>
  </si>
  <si>
    <t>DCTG800G04-001</t>
  </si>
  <si>
    <t>VZF 800-HQ</t>
  </si>
  <si>
    <t>DCT 800</t>
  </si>
  <si>
    <t>DCT 362</t>
  </si>
  <si>
    <t>VZF 362</t>
  </si>
  <si>
    <t>VTA123-022-01</t>
  </si>
  <si>
    <t>VTA123-01</t>
  </si>
  <si>
    <t>VTA123-022-001</t>
  </si>
  <si>
    <t>SVA 123</t>
  </si>
  <si>
    <t>65% SF6 / 35% N2</t>
  </si>
  <si>
    <t>70% SF6 / 30% N2</t>
  </si>
  <si>
    <t>75% SF6 / 25% N2</t>
  </si>
  <si>
    <t>SVS 420-01 - CEPS</t>
  </si>
  <si>
    <t>SVS 420-01 - APG - 420_U_63</t>
  </si>
  <si>
    <t>SVS 420-01 - APG - 420_U_50</t>
  </si>
  <si>
    <t>VTG420-01-001</t>
  </si>
  <si>
    <t>VTG420-01-002</t>
  </si>
  <si>
    <t>VTG420-01-003</t>
  </si>
  <si>
    <t>CTG420-040-008</t>
  </si>
  <si>
    <t>CTG420-040-009</t>
  </si>
  <si>
    <t>SAS 420 kV Terna Design T31</t>
  </si>
  <si>
    <t>SAS 420-040-0150 - CEPS TYPE ??</t>
  </si>
  <si>
    <r>
      <t xml:space="preserve">PRODUKTSICHERHEIT OEN - Auftragsbearbeitung: </t>
    </r>
    <r>
      <rPr>
        <b/>
        <i/>
        <sz val="9"/>
        <rFont val="Arial"/>
        <family val="2"/>
      </rPr>
      <t>(Angesteuert durch Auswahl der Projektkategorie)</t>
    </r>
  </si>
  <si>
    <t>IEC 61869-1</t>
  </si>
  <si>
    <t>IEC 61869-2</t>
  </si>
  <si>
    <t>IEC 61869-3</t>
  </si>
  <si>
    <t>IEC 61869-4</t>
  </si>
  <si>
    <t>IEC 60137</t>
  </si>
  <si>
    <t>IEEE C57.13.5</t>
  </si>
  <si>
    <t>Normen angepasst, Datum entf. Zu klären ist GOST - Erl.</t>
  </si>
  <si>
    <r>
      <t xml:space="preserve">Biegefestigkeit: / 
</t>
    </r>
    <r>
      <rPr>
        <sz val="10"/>
        <rFont val="Arial"/>
        <family val="2"/>
      </rPr>
      <t>Flexural strength</t>
    </r>
  </si>
  <si>
    <t>Dynamisch / Statische Biegefestigkeit - Dynamisch gelöscht und Tabelle neu aufgebaut - Erl.</t>
  </si>
  <si>
    <t>Groß X</t>
  </si>
  <si>
    <t>3kV</t>
  </si>
  <si>
    <t>19kV</t>
  </si>
  <si>
    <t>5kV</t>
  </si>
  <si>
    <r>
      <t xml:space="preserve">Frequenz: / </t>
    </r>
    <r>
      <rPr>
        <sz val="10"/>
        <rFont val="Arial"/>
        <family val="2"/>
      </rPr>
      <t>Frequency</t>
    </r>
  </si>
  <si>
    <t>Groß X implementiert - Erl.</t>
  </si>
  <si>
    <r>
      <rPr>
        <b/>
        <sz val="9"/>
        <rFont val="Arial"/>
        <family val="2"/>
      </rPr>
      <t>Prüfwechsel-spannung Groß X(N):</t>
    </r>
    <r>
      <rPr>
        <sz val="10"/>
        <rFont val="Arial"/>
        <family val="2"/>
      </rPr>
      <t>/</t>
    </r>
    <r>
      <rPr>
        <b/>
        <sz val="10"/>
        <rFont val="Arial"/>
        <family val="2"/>
      </rPr>
      <t xml:space="preserve">
</t>
    </r>
    <r>
      <rPr>
        <sz val="10"/>
        <rFont val="Arial"/>
        <family val="2"/>
      </rPr>
      <t>Neutral terminal HS</t>
    </r>
  </si>
  <si>
    <t>Schließend / normally closed (P=0)</t>
  </si>
  <si>
    <t>Öffnend / normally open (P=0)</t>
  </si>
  <si>
    <r>
      <rPr>
        <b/>
        <sz val="10"/>
        <rFont val="Arial"/>
        <family val="2"/>
      </rPr>
      <t>PT100 gefordert:</t>
    </r>
    <r>
      <rPr>
        <sz val="10"/>
        <rFont val="Arial"/>
        <family val="2"/>
      </rPr>
      <t xml:space="preserve"> / PT100 requiered</t>
    </r>
  </si>
  <si>
    <r>
      <t xml:space="preserve">Funkenstrecke: / </t>
    </r>
    <r>
      <rPr>
        <sz val="10"/>
        <rFont val="Arial"/>
        <family val="2"/>
      </rPr>
      <t>Spark gap requiered</t>
    </r>
  </si>
  <si>
    <t>VTA300-01</t>
  </si>
  <si>
    <t>VTA362-01</t>
  </si>
  <si>
    <t>VTG300-01</t>
  </si>
  <si>
    <t>300 kV</t>
  </si>
  <si>
    <t>SVA 300</t>
  </si>
  <si>
    <t>SVA 362</t>
  </si>
  <si>
    <t>SVS 300</t>
  </si>
  <si>
    <t>850 kV</t>
  </si>
  <si>
    <t>VTPA072-100-01</t>
  </si>
  <si>
    <t>PSVA 72,5-100</t>
  </si>
  <si>
    <t>VTPA123-025-02</t>
  </si>
  <si>
    <t>PSVA 123-25</t>
  </si>
  <si>
    <t>Dokumentiertes Abstimmungsmeeting durchgeführt</t>
  </si>
  <si>
    <t>Erweiterte FMEA durchgeführt</t>
  </si>
  <si>
    <r>
      <rPr>
        <b/>
        <sz val="10"/>
        <rFont val="Arial"/>
        <family val="2"/>
      </rPr>
      <t xml:space="preserve">INAIL Zertifikationsnummer von Trench Deutschland: / </t>
    </r>
    <r>
      <rPr>
        <sz val="10"/>
        <rFont val="Arial"/>
        <family val="2"/>
      </rPr>
      <t xml:space="preserve">
INAIL Certificationnumber from Trench Germany:</t>
    </r>
  </si>
  <si>
    <t>Spalte 7 eingefügt - INAIL Zertifikationsnummer - Erl.</t>
  </si>
  <si>
    <t>Dichtwächter Kontakte Normally Open, Normally Closed - Erl.</t>
  </si>
  <si>
    <t>Farbenauswahl ohne Überschreibung programmieren Erl.</t>
  </si>
  <si>
    <t>Version</t>
  </si>
  <si>
    <t>Datum</t>
  </si>
  <si>
    <t>Änderung</t>
  </si>
  <si>
    <t>V.1.4</t>
  </si>
  <si>
    <t>Produktsicherheit - Vorschlag implementiert Erl.</t>
  </si>
  <si>
    <t>Keine Aktion , da Standardprodukt</t>
  </si>
  <si>
    <t>Abwägung des Risikos durchgeführt - Keine Aktion</t>
  </si>
  <si>
    <t>Notiz</t>
  </si>
  <si>
    <t>Aktion</t>
  </si>
  <si>
    <r>
      <t xml:space="preserve">Projektname: / 
</t>
    </r>
    <r>
      <rPr>
        <sz val="10"/>
        <rFont val="Arial"/>
        <family val="2"/>
      </rPr>
      <t>Name of the Project</t>
    </r>
  </si>
  <si>
    <t>Projektname hinzugefügt &amp; Länder ausgeschrieben</t>
  </si>
  <si>
    <t>Australia</t>
  </si>
  <si>
    <t>Austria</t>
  </si>
  <si>
    <t>Canada</t>
  </si>
  <si>
    <t>Switzerland</t>
  </si>
  <si>
    <t>China</t>
  </si>
  <si>
    <t>Germany</t>
  </si>
  <si>
    <t>India</t>
  </si>
  <si>
    <t>Iraq</t>
  </si>
  <si>
    <t>Italy</t>
  </si>
  <si>
    <t>Poland</t>
  </si>
  <si>
    <t>Spain</t>
  </si>
  <si>
    <t>Hungary</t>
  </si>
  <si>
    <t>Czech Republic</t>
  </si>
  <si>
    <t>Completly painted in 'A' without A2 Bolts</t>
  </si>
  <si>
    <t>Al without painting; St zincked + painted in 'A'</t>
  </si>
  <si>
    <t>Completly painted in 'A' incl. A2 Bolts</t>
  </si>
  <si>
    <t>Components under electr. Voltage in 'A', others without painting</t>
  </si>
  <si>
    <t>Components under electr. Voltage in 'A', other Parts in 'B'</t>
  </si>
  <si>
    <t>Neue Modelle eingepflegt ( Clean Air )</t>
  </si>
  <si>
    <t>RAL 7033 o.EG - 213307 (120-240µm)</t>
  </si>
  <si>
    <t>RAL 7033 o.EG - 216911 (200-320µm)</t>
  </si>
  <si>
    <t>RAL 7033 o.EG - 242272 (280-400µm)</t>
  </si>
  <si>
    <t>RAL 7033 m. EG - 210083 (120-240µm)</t>
  </si>
  <si>
    <t>RAL 7033 m. EG - xxxxxx (200-320µm)</t>
  </si>
  <si>
    <t>RAL 7033 m. EG - 197388 (260-420µm)</t>
  </si>
  <si>
    <t>OCT 420</t>
  </si>
  <si>
    <t>OCT 245</t>
  </si>
  <si>
    <t>OCT145-01</t>
  </si>
  <si>
    <t>OCT 145</t>
  </si>
  <si>
    <t>TOCT 145</t>
  </si>
  <si>
    <t>OCT unter Sonder eingepflegt.</t>
  </si>
  <si>
    <t>Zeile Lackierung Ja / nein entfernt.</t>
  </si>
  <si>
    <t>VTP420-050-01</t>
  </si>
  <si>
    <t>PSVS 420-50</t>
  </si>
  <si>
    <t>b-light (1-light)</t>
  </si>
  <si>
    <t>c-medium (2-medium)</t>
  </si>
  <si>
    <t>d-heavy (3-heavy)</t>
  </si>
  <si>
    <t>e-very heavy (4-very heavy)</t>
  </si>
  <si>
    <t>27,8 (16) [RUSCD(SCD)]</t>
  </si>
  <si>
    <t>34,7 (20) [RUSCD(SCD)]</t>
  </si>
  <si>
    <t>43,3 (25) [RUSCD(SCD)]</t>
  </si>
  <si>
    <t>53,7 (31) [RUSCD(SCD)]</t>
  </si>
  <si>
    <t>Um x 15mm</t>
  </si>
  <si>
    <t>???</t>
  </si>
  <si>
    <t>Um x 20mm</t>
  </si>
  <si>
    <t>Um x 22,5mm</t>
  </si>
  <si>
    <t>Portugiesisch</t>
  </si>
  <si>
    <t>TAG170-TXX</t>
  </si>
  <si>
    <t>TAG245-TXX</t>
  </si>
  <si>
    <t>Phoenix UK16N</t>
  </si>
  <si>
    <t>VCG145-040-0390</t>
  </si>
  <si>
    <t>VCG123-040-0390</t>
  </si>
  <si>
    <t>VTPA362-125-01</t>
  </si>
  <si>
    <t>PSVA 362-125</t>
  </si>
  <si>
    <t>Frei wählbar bei KK und DW Klemmen</t>
  </si>
  <si>
    <t>CTG170-040-0300</t>
  </si>
  <si>
    <t>SAS 170</t>
  </si>
  <si>
    <t>V1.5</t>
  </si>
  <si>
    <t>Klemmentyp Densimeter:</t>
  </si>
  <si>
    <t xml:space="preserve">Wago Zugfederklemme &lt; 6mm </t>
  </si>
  <si>
    <t>Druck auf 13 bar erweitert für CA Geräte &amp; Desnimeter Clamps angepasst</t>
  </si>
  <si>
    <t>CTG362-040-0240</t>
  </si>
  <si>
    <t>Lettisch</t>
  </si>
  <si>
    <t>VCA170-041-0520</t>
  </si>
  <si>
    <t>V.1.6</t>
  </si>
  <si>
    <t>VTP123-050-01</t>
  </si>
  <si>
    <t>VTP123-100-01</t>
  </si>
  <si>
    <t>VTP123-125-01</t>
  </si>
  <si>
    <t>VTP123-167-01</t>
  </si>
  <si>
    <t>PSVS 123-50</t>
  </si>
  <si>
    <t>PSVS 123-100</t>
  </si>
  <si>
    <t>PSVS 123-125</t>
  </si>
  <si>
    <t>PSVS 123-167</t>
  </si>
  <si>
    <t>PSVS 72,5-25</t>
  </si>
  <si>
    <t>PSVS 72,5-50</t>
  </si>
  <si>
    <t>PSVS 72,5-100</t>
  </si>
  <si>
    <t>PSVS 72,5-125</t>
  </si>
  <si>
    <t>VTP145-125-01</t>
  </si>
  <si>
    <t>VTP145-167-01</t>
  </si>
  <si>
    <t>PSVS 145-125</t>
  </si>
  <si>
    <t>PSVS 145-167</t>
  </si>
  <si>
    <t>VTP170-050-01</t>
  </si>
  <si>
    <t>VTP170-100-01</t>
  </si>
  <si>
    <t>VTP170-125-01</t>
  </si>
  <si>
    <t>VTP170-167-01</t>
  </si>
  <si>
    <t>PSVS 170-50</t>
  </si>
  <si>
    <t>PSVS 170-100</t>
  </si>
  <si>
    <t>PSVS 170-125</t>
  </si>
  <si>
    <t>PSVS 170-167</t>
  </si>
  <si>
    <t>VTP362-025-02</t>
  </si>
  <si>
    <t>PSVS 362-25</t>
  </si>
  <si>
    <t>VTP420-125-01</t>
  </si>
  <si>
    <t>VTP420-167-01</t>
  </si>
  <si>
    <t>PSVS 420-125</t>
  </si>
  <si>
    <t>PSVS 420-167</t>
  </si>
  <si>
    <t>PSVS 550-50</t>
  </si>
  <si>
    <t>Makro eingepflegt Spannungswandler / Stromwandlerdaten ausblenden / LS Material entfernt / SVTI / INAILHinweis an 2023 angepasst</t>
  </si>
  <si>
    <t>VTP072-025-02</t>
  </si>
  <si>
    <t>VTPA072-025-02</t>
  </si>
  <si>
    <t>VTPA072-050-01</t>
  </si>
  <si>
    <t>VTPA072-125-01</t>
  </si>
  <si>
    <t>VTPA123-050-01</t>
  </si>
  <si>
    <t>VTPA123-100-01</t>
  </si>
  <si>
    <t>VTPA123-125-01</t>
  </si>
  <si>
    <t>VTPA123-167-01</t>
  </si>
  <si>
    <t>VTPA145-100-01</t>
  </si>
  <si>
    <t>VTPA145-125-01</t>
  </si>
  <si>
    <t>VTPA145-167-01</t>
  </si>
  <si>
    <t>VTPA170-025-02</t>
  </si>
  <si>
    <t>VTPA170-050-01</t>
  </si>
  <si>
    <t>VTPA170-100-01</t>
  </si>
  <si>
    <t>VTPA170-125-01</t>
  </si>
  <si>
    <t>VTPA170-167-01</t>
  </si>
  <si>
    <t>VTPA245-025-02</t>
  </si>
  <si>
    <t>VTPA245-050-01</t>
  </si>
  <si>
    <t>VTPA245-167-01</t>
  </si>
  <si>
    <t>VTPA362-050-01</t>
  </si>
  <si>
    <t>VTPA362-167-01</t>
  </si>
  <si>
    <t>VTPA420-050-01</t>
  </si>
  <si>
    <t>VTPA420-100-01</t>
  </si>
  <si>
    <t>VTPA420-125-01</t>
  </si>
  <si>
    <t>VTPA420-167-01</t>
  </si>
  <si>
    <t>VTPA362-100-01</t>
  </si>
  <si>
    <t>PSVA 72,5-25</t>
  </si>
  <si>
    <t>PSVA 72,5-50</t>
  </si>
  <si>
    <t>PSVA 72,5-125</t>
  </si>
  <si>
    <t>PSVA 123-50</t>
  </si>
  <si>
    <t>PSVA 123-100</t>
  </si>
  <si>
    <t>PSVA 123-125</t>
  </si>
  <si>
    <t>PSVA 123-167</t>
  </si>
  <si>
    <t>PSVA 145-100</t>
  </si>
  <si>
    <t>PSVA 145-125</t>
  </si>
  <si>
    <t>PSVA 145-167</t>
  </si>
  <si>
    <t>PSVA 170-25</t>
  </si>
  <si>
    <t>PSVA 170-50</t>
  </si>
  <si>
    <t>PSVA 170-100</t>
  </si>
  <si>
    <t>PSVA 170-125</t>
  </si>
  <si>
    <t>PSVA 170-167</t>
  </si>
  <si>
    <t>PSVA 245-25</t>
  </si>
  <si>
    <t>PSVA 245-50</t>
  </si>
  <si>
    <t>PSVA 245-167</t>
  </si>
  <si>
    <t>PSVA 362-50</t>
  </si>
  <si>
    <t>PSVA 362-100</t>
  </si>
  <si>
    <t>PSVA 362-167</t>
  </si>
  <si>
    <t>PSVA 420-50</t>
  </si>
  <si>
    <t>PSVA 420-100</t>
  </si>
  <si>
    <t>PSVA 420-125</t>
  </si>
  <si>
    <t>PSVA 420-167</t>
  </si>
  <si>
    <t>Phoenix UK6N</t>
  </si>
  <si>
    <t>CTG362-040-0390</t>
  </si>
  <si>
    <t>CTG300-040-0390</t>
  </si>
  <si>
    <t>SVS 72.5</t>
  </si>
  <si>
    <t>Erstellt / prepared:</t>
  </si>
  <si>
    <t>Änderungsvermerk / change documentation:</t>
  </si>
  <si>
    <t>Datum / date:</t>
  </si>
  <si>
    <t>Genehmigt / released:</t>
  </si>
  <si>
    <t>Reviewed:</t>
  </si>
  <si>
    <t>Specification-page</t>
  </si>
  <si>
    <r>
      <t xml:space="preserve">Statisch: /
</t>
    </r>
    <r>
      <rPr>
        <sz val="11"/>
        <rFont val="Arial"/>
        <family val="2"/>
      </rPr>
      <t>Static test load</t>
    </r>
  </si>
  <si>
    <t>EMD with big scale</t>
  </si>
  <si>
    <r>
      <t xml:space="preserve">Sicherungen: / </t>
    </r>
    <r>
      <rPr>
        <sz val="10"/>
        <rFont val="Arial"/>
        <family val="2"/>
      </rPr>
      <t>Protection requiered</t>
    </r>
  </si>
  <si>
    <r>
      <rPr>
        <b/>
        <sz val="10"/>
        <rFont val="Arial"/>
        <family val="2"/>
      </rPr>
      <t>Detail d. Sicherungen:</t>
    </r>
    <r>
      <rPr>
        <sz val="10"/>
        <rFont val="Arial"/>
        <family val="2"/>
      </rPr>
      <t xml:space="preserve"> / Detail of protection:</t>
    </r>
    <r>
      <rPr>
        <sz val="9"/>
        <rFont val="Arial"/>
        <family val="2"/>
      </rPr>
      <t xml:space="preserve"> (NO=Schließer;NC=Öffner)</t>
    </r>
  </si>
  <si>
    <t>Abweichende Vorgabe auf LS:</t>
  </si>
  <si>
    <t>V.1.7</t>
  </si>
  <si>
    <t xml:space="preserve">Diverse Änderungen / Verbesserungen eingespielt / zudem erweiterung des persönlichen DB Handovers / </t>
  </si>
  <si>
    <t xml:space="preserve">4x60x60 and 4x44,5x44,5 (IEC&amp;NEMA) - Standard </t>
  </si>
  <si>
    <t>Al. Flat-terminal 200x120x20 - 8xØ14,0 hole distance 50 mm (IEC)</t>
  </si>
  <si>
    <t>Al. Flat-terminal 200x120x20 - 4xØ14,0 hole distance 44,5 mm (NEMA)</t>
  </si>
  <si>
    <t>Al. Flat-terminal 200x120x20 - 8xØ14,0 hole distance 44,5 mm (NEMA)</t>
  </si>
  <si>
    <t>Al. Flat-terminal 200x120x20 - 6xØ14,0 hole distance 44,5 mm</t>
  </si>
  <si>
    <t xml:space="preserve">Al. Flat-terminal 210x120x20– 8xD13,0 hole distance 50 mm </t>
  </si>
  <si>
    <t>Al. Flat-terminal 210x130x20– 6xD18,0 hole distance 70 mm</t>
  </si>
  <si>
    <t>Al. Flat-terminal 200x120x20 - 4xØ14,0 hole distance 45 mm (GOST)</t>
  </si>
  <si>
    <t>Al. Flat-terminal 200x120x20 - 6xØ18,0 hole distance 60 mm</t>
  </si>
  <si>
    <t>Offer Number</t>
  </si>
  <si>
    <t xml:space="preserve">Project name: </t>
  </si>
  <si>
    <t>combined units</t>
  </si>
  <si>
    <t>Customer specification:</t>
  </si>
  <si>
    <t>Load Stat.:</t>
  </si>
  <si>
    <t>VT section:</t>
  </si>
  <si>
    <t>Winding 1</t>
  </si>
  <si>
    <t>Winding 2</t>
  </si>
  <si>
    <t>Winding 3</t>
  </si>
  <si>
    <t>Winding 4</t>
  </si>
  <si>
    <t>Winding 5</t>
  </si>
  <si>
    <t>Earthing winding</t>
  </si>
  <si>
    <t>Primary voltage
V</t>
  </si>
  <si>
    <t>Secondary voltage
V</t>
  </si>
  <si>
    <t>Burden
VA</t>
  </si>
  <si>
    <t>thermal burden
VA</t>
  </si>
  <si>
    <t>Calibrated at factory</t>
  </si>
  <si>
    <t>Comments:</t>
  </si>
  <si>
    <t>CT section:</t>
  </si>
  <si>
    <t>Core 1</t>
  </si>
  <si>
    <t>Core 2</t>
  </si>
  <si>
    <t>Core 3</t>
  </si>
  <si>
    <t>Core 4</t>
  </si>
  <si>
    <t>Core 5</t>
  </si>
  <si>
    <t>Core 6</t>
  </si>
  <si>
    <t>Core 7</t>
  </si>
  <si>
    <t>Acuracy class</t>
  </si>
  <si>
    <t>Primary current (A)</t>
  </si>
  <si>
    <t>Secondary current (A)</t>
  </si>
  <si>
    <t>FS/ALF</t>
  </si>
  <si>
    <t>Burden (VA)</t>
  </si>
  <si>
    <t>Iext %</t>
  </si>
  <si>
    <t xml:space="preserve">Ie [mA] </t>
  </si>
  <si>
    <t>Calibration</t>
  </si>
  <si>
    <t>Adiitional info:</t>
  </si>
  <si>
    <t>IP  class terminal box</t>
  </si>
  <si>
    <t>Terminal box heating</t>
  </si>
  <si>
    <t>Pressure shown on the Densimeter:</t>
  </si>
  <si>
    <t>Protection</t>
  </si>
  <si>
    <t>Earthing bar</t>
  </si>
  <si>
    <t>Languange of the documents:</t>
  </si>
  <si>
    <t>Language of the rating plate:</t>
  </si>
  <si>
    <t xml:space="preserve">Summary simultenious burden </t>
  </si>
  <si>
    <t>Ith cont.</t>
  </si>
  <si>
    <t>I th/ sec</t>
  </si>
  <si>
    <t>Switching type</t>
  </si>
  <si>
    <t>(A)</t>
  </si>
  <si>
    <t>(A/sec)</t>
  </si>
  <si>
    <t>Cable glands</t>
  </si>
  <si>
    <t>Cover of customers clamps</t>
  </si>
  <si>
    <t>Densimeter wired in terminal box</t>
  </si>
  <si>
    <t>Additional Information:</t>
  </si>
  <si>
    <t>Al without painting; St zincked</t>
  </si>
  <si>
    <t>No</t>
  </si>
  <si>
    <t xml:space="preserve">Secondary Tp [mA] </t>
  </si>
  <si>
    <t xml:space="preserve">Primary Tp [mA] </t>
  </si>
  <si>
    <t>VCG170G05</t>
  </si>
  <si>
    <t>SVAS 170/5G</t>
  </si>
  <si>
    <t>CTG072G05-1</t>
  </si>
  <si>
    <t>SAS 72,5</t>
  </si>
  <si>
    <t>CTG123G05-1</t>
  </si>
  <si>
    <t>CTG145G05-1</t>
  </si>
  <si>
    <t>CTG170G05</t>
  </si>
  <si>
    <t>Phoenix PT16N</t>
  </si>
  <si>
    <t>Italienisch</t>
  </si>
  <si>
    <t>DAkkS</t>
  </si>
  <si>
    <t>RAL 9006 - 349325 (260-420µm)</t>
  </si>
  <si>
    <t>Personel handover &amp; especially f. CSA N299 orders:</t>
  </si>
  <si>
    <t>AS 60044.1-2007</t>
  </si>
  <si>
    <r>
      <rPr>
        <b/>
        <sz val="10"/>
        <rFont val="Arial"/>
        <family val="2"/>
      </rPr>
      <t xml:space="preserve">Druckbehältervorschrift (QM-Vorschrift): / </t>
    </r>
    <r>
      <rPr>
        <sz val="10"/>
        <rFont val="Arial"/>
        <family val="2"/>
      </rPr>
      <t xml:space="preserve">
Pressure vessel regulation (QA-Programm):</t>
    </r>
  </si>
  <si>
    <t>CAN/CSA(N299)</t>
  </si>
  <si>
    <t>1: Standard Routineprüfung</t>
  </si>
  <si>
    <t>2: DAkkS - Konformität nach ISO17025</t>
  </si>
  <si>
    <t>3: Eichfähig nach BEV,SEV,UTF...</t>
  </si>
  <si>
    <t>Kalibrieranforderung (siehe Dokument 820074)</t>
  </si>
  <si>
    <t>Series and parallel switchable</t>
  </si>
  <si>
    <r>
      <t xml:space="preserve">Configuration of secondary connections for 
Power VT </t>
    </r>
    <r>
      <rPr>
        <b/>
        <u/>
        <sz val="9"/>
        <rFont val="Arial"/>
        <family val="2"/>
      </rPr>
      <t>with two secondary windings</t>
    </r>
    <r>
      <rPr>
        <b/>
        <sz val="9"/>
        <rFont val="Arial"/>
        <family val="2"/>
      </rPr>
      <t>:</t>
    </r>
  </si>
  <si>
    <t>If applicable choose here:</t>
  </si>
  <si>
    <t>Series connection fixed with tap for center and external tap</t>
  </si>
  <si>
    <t>V.1.8</t>
  </si>
  <si>
    <t>Power VT - Sekundärausführungen bei zwei Windungen hinzugefügt</t>
  </si>
  <si>
    <t>V1.8_08.12.2023</t>
  </si>
  <si>
    <t>CTA072G05-1</t>
  </si>
  <si>
    <t>SAA 072</t>
  </si>
  <si>
    <t>SAA 72,5</t>
  </si>
  <si>
    <t>Terna</t>
  </si>
  <si>
    <t>1550 kV</t>
  </si>
  <si>
    <t>1175 kV</t>
  </si>
  <si>
    <t>- 25° Celsius</t>
  </si>
  <si>
    <t>50° Celsius</t>
  </si>
  <si>
    <t>266,73 kV // 1h</t>
  </si>
  <si>
    <t>63 kA / 1s</t>
  </si>
  <si>
    <t>160 kA</t>
  </si>
  <si>
    <t>max pressure 7,0 bar on old db</t>
  </si>
  <si>
    <t>Pressure LS should be Mpa</t>
  </si>
  <si>
    <t>AL, 100 x 290 x 20 mm, Bohrungen 6xØ18 mm, Mittenabstand  50 / 100 mm</t>
  </si>
  <si>
    <t>Selloum</t>
  </si>
  <si>
    <t xml:space="preserve">zu erledigen </t>
  </si>
  <si>
    <t>2022-0879</t>
  </si>
  <si>
    <t>CTG420-040-011</t>
  </si>
  <si>
    <t>SAS 420 TERNA Type A</t>
  </si>
  <si>
    <t>CTG420-040-012</t>
  </si>
  <si>
    <t>CTG420-040-013</t>
  </si>
  <si>
    <t>SAS 420 TERNA Type B</t>
  </si>
  <si>
    <t>SAS 420 TERNA Type C</t>
  </si>
  <si>
    <t>C5 vh</t>
  </si>
  <si>
    <t>Note 3</t>
  </si>
  <si>
    <t>60</t>
  </si>
  <si>
    <t xml:space="preserve">core1 terminals with cover for UTF purpose </t>
  </si>
  <si>
    <t xml:space="preserve">Use the new DW standard for Terna with automatic testing valve integrated </t>
  </si>
  <si>
    <t xml:space="preserve">Cover Secondary Core 1 (UTF calibration in Italy) </t>
  </si>
  <si>
    <t xml:space="preserve">M8 bolt (with Bezeichnungsschild Erdung)  through a hole in the kk frame (like zkk613692). Internal end will be used for connecting the screens of the Customer cables. Outside end via 16mm2 yellow-green cable to M12 bolt in the foot. </t>
  </si>
  <si>
    <t>SAS420-M02-Type B</t>
  </si>
  <si>
    <t>See Note 1</t>
  </si>
  <si>
    <t>See Note 2</t>
  </si>
  <si>
    <t>Note 4</t>
  </si>
  <si>
    <t>automatic testing valve integrated   in the Densimeter</t>
  </si>
  <si>
    <t>8x</t>
  </si>
  <si>
    <t>8xM25  cableglands for cables having diameter ø 12 ÷ 16 mm 
4 for the secondary and 4 for the density meter</t>
  </si>
  <si>
    <t xml:space="preserve">1) 2kV AC test on alarms contact of the density monitors, between each indipended circuit and thew other connected to ground. 
2)3 kV AC test between shortcuited terminals of each section, 
3) Check the protective coatings (paint / zink usw). The UNI EN ISO 1461 Standard applies, with the clarification that the zinc layer thickness must be determined with magnetic flow devices, according to standards UNI EN ISO 2178 and UNI EN ISO 2064, making from 5 to 10 measurements on each component, uniformly on the various surfaces, avoiding edges and angled parts.
</t>
  </si>
  <si>
    <t xml:space="preserve">check if 
30°-  45° 
is feasible. If not is ok. </t>
  </si>
  <si>
    <t>Yes for cable screens, see bolt M8 below.</t>
  </si>
  <si>
    <t>2x2 Bohrungen Ø15 mm,
 Mittenabstand 210 mm; NR-Schraube M12.
 Bezeichnungsschild Erdung</t>
  </si>
  <si>
    <r>
      <rPr>
        <b/>
        <sz val="8"/>
        <color rgb="FFFF0000"/>
        <rFont val="Arial"/>
        <family val="2"/>
      </rPr>
      <t xml:space="preserve">Trench Germany design 
Pay attention, cable glands, DW cable have should not collide with Customer 420kV Pedestal , see pic 01 below in  notes. 
</t>
    </r>
    <r>
      <rPr>
        <sz val="8"/>
        <color theme="1"/>
        <rFont val="Arial"/>
        <family val="2"/>
      </rPr>
      <t>-with suitable ventilation anti insect device.</t>
    </r>
    <r>
      <rPr>
        <sz val="8"/>
        <rFont val="Arial"/>
        <family val="2"/>
      </rPr>
      <t xml:space="preserve">
-terminal block for secondary terminals, DW contacts, DW singal must be
positioned in separate compartments obtained in the secondary terminal box by means of suitable
metal diaphragms/separators  see note 1 
-three sections: 
 secondary output </t>
    </r>
    <r>
      <rPr>
        <sz val="8"/>
        <rFont val="Calibri"/>
        <family val="2"/>
      </rPr>
      <t>│DW switching contacts │DW analog signal 4-20mA</t>
    </r>
  </si>
  <si>
    <t xml:space="preserve">HVDC LINK Terna </t>
  </si>
  <si>
    <t xml:space="preserve">Mukametshina </t>
  </si>
  <si>
    <t>3200 cont  -  3500 1h</t>
  </si>
  <si>
    <r>
      <t xml:space="preserve">isolator must be from Shemar in material HTV with ATH &gt;45%.
</t>
    </r>
    <r>
      <rPr>
        <sz val="10"/>
        <color rgb="FF0070C0"/>
        <rFont val="Arial"/>
        <family val="2"/>
      </rPr>
      <t xml:space="preserve">in the ZMB write: 13,3kN Long., 8,4kN trasv., 6 kN vert..write a note next to these values --&gt;  IT: I valori indicati sono da considerarsi provvisori e potranno essere rivisti in base agli esiti delle prove di tipo EN: The provided values are provisional and may be revised based on the outcomes of the type tests.
</t>
    </r>
    <r>
      <rPr>
        <sz val="10"/>
        <color rgb="FFC00000"/>
        <rFont val="Arial"/>
        <family val="2"/>
      </rPr>
      <t>SIL auf das Leistungsschild</t>
    </r>
  </si>
  <si>
    <t>DETTAGLIO DELL 'ISOLATORE
SHEDS DETAIL INSULATOR</t>
  </si>
  <si>
    <r>
      <t xml:space="preserve">Note 1:  2xDN8 or in alternative  1xDN8 + 1xDN20 (Andreas Karl was thinking a 
solution to use SAS adapter (one DN20) and other DN20 or DN8 in the zwischenstuck 
Note 2: Double o-ring in alle the junctions ad per Terna specification on standard transformers. Adapter --&gt; Gaber 
Note 3:  On the outside of the secondary terminal box door there must be a plate, indelible and resistant to
atmospheric agents, showing the following information:
 connection diagrams of the secondary windings and those of the primary sections, if any,
in relation to the respective transformation ratios;
 connection diagram of the gas density control device, with indication of the gas relative
densities corresponding to the two intervention levels.
see example of what we did for Terna 
one big rating plate with LS and SS included see standard HQ rating plate. 
Note 4:  for the steel parts (foot)  in  80mm zinck.  The head castings must be painted on the outer surface only with a 9010 colour epoxy
coating according to the RAL classification in compliance with the UNI EN ISO 12944-2/5 Standards, with a C5 corrosion category and very high (vh) durability
Make 3D drawing of the transformer and to be  checked on the Terna 420kV pedestal (no DW colloision or cable glands)
</t>
    </r>
    <r>
      <rPr>
        <sz val="9"/>
        <color rgb="FFFF0000"/>
        <rFont val="Arial"/>
        <family val="2"/>
      </rPr>
      <t>ZIS 617506_Rev00 - Benennung: Hinweisschild INAIL/instruction plate INAIL
ZHS 617613_Rev00 - Benennung: Hinweisschild TYP / Instruction plate TYPE
ZMB - additional information:
Dm : 455,5 mm
kD :  1,271
kCF :  1,278  
kA :  1,009
BVCC :  242,5 kV
RSCD :  37,8 mm/kV
SSCD :  61,94 mm/kV
- add screenshot for insolator drawing profile showing diameters of the insulator with silicone layer and sheeds + profile dimensions
- Information about manufacturer of the insulator (name)
- Anbringungsstelle für ZIS 617506_Rev00 - "Hinweisschild INAIL" kennzeichne</t>
    </r>
    <r>
      <rPr>
        <sz val="9"/>
        <rFont val="Arial"/>
        <family val="2"/>
      </rPr>
      <t xml:space="preserve">n
</t>
    </r>
  </si>
  <si>
    <t xml:space="preserve">  add SIL value, mech load + comment, add iso info in ZMB, add info ZIS info in ZMB , apply small translation / layout correction indicated </t>
  </si>
  <si>
    <t xml:space="preserve">Selloum </t>
  </si>
  <si>
    <t xml:space="preserve">Ott &amp; Karl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</si>
</sst>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164" formatCode="_-* #,##0.00\ _€_-;\-* #,##0.00\ _€_-;_-* &quot;-&quot;??\ _€_-;_-@_-"/>
    <numFmt numFmtId="165" formatCode="0\ &quot;kV&quot;"/>
    <numFmt numFmtId="166" formatCode="0.0\ &quot;Hz&quot;"/>
    <numFmt numFmtId="167" formatCode="0.0"/>
    <numFmt numFmtId="168" formatCode="0\ &quot;mm&quot;"/>
    <numFmt numFmtId="169" formatCode="General\ &quot;m&quot;"/>
    <numFmt numFmtId="170" formatCode="General\ &quot;kV&quot;"/>
    <numFmt numFmtId="171" formatCode="0\ &quot;Stück&quot;"/>
    <numFmt numFmtId="172" formatCode="0.00\ &quot;Std&quot;"/>
    <numFmt numFmtId="173" formatCode="0\ &quot;N&quot;"/>
    <numFmt numFmtId="174" formatCode="0\ &quot;°C&quot;"/>
    <numFmt numFmtId="175" formatCode="0\ &quot;mm/kV&quot;"/>
    <numFmt numFmtId="176" formatCode="General\ &quot;mm&quot;"/>
    <numFmt numFmtId="177" formatCode="General\ &quot;A&quot;"/>
    <numFmt numFmtId="178" formatCode="General\ &quot;Ohm&quot;"/>
    <numFmt numFmtId="179" formatCode="General\ &quot;VA&quot;"/>
    <numFmt numFmtId="180" formatCode="General\ &quot;V&quot;"/>
    <numFmt numFmtId="181" formatCode="0.0\ &quot;bar (kPa)&quot;"/>
    <numFmt numFmtId="182" formatCode="0.0\ &quot;mm/kV&quot;"/>
    <numFmt numFmtId="183" formatCode="#,##0.0\ &quot;mm/kV&quot;"/>
    <numFmt numFmtId="184" formatCode="0.0\ &quot;bar (10² kPa)&quot;"/>
    <numFmt numFmtId="185" formatCode="0.0\ &quot;kV&quot;"/>
    <numFmt numFmtId="186" formatCode="0.0\ &quot;kA/s&quot;"/>
    <numFmt numFmtId="187" formatCode="0\ &quot;kA&quot;"/>
    <numFmt numFmtId="188" formatCode="[$-F800]dddd\,\ mmmm\ dd\,\ yyyy"/>
  </numFmts>
  <fonts count="46" x14ac:knownFonts="1">
    <font>
      <sz val="11"/>
      <name val="Arial"/>
    </font>
    <font>
      <sz val="8"/>
      <name val="Arial"/>
      <family val="2"/>
    </font>
    <font>
      <sz val="9"/>
      <name val="Arial"/>
      <family val="2"/>
    </font>
    <font>
      <sz val="11"/>
      <name val="Arial"/>
      <family val="2"/>
    </font>
    <font>
      <sz val="11"/>
      <name val="Arial"/>
      <family val="2"/>
    </font>
    <font>
      <sz val="11"/>
      <name val="Arial"/>
      <family val="2"/>
    </font>
    <font>
      <b/>
      <sz val="11"/>
      <name val="Arial"/>
      <family val="2"/>
    </font>
    <font>
      <sz val="11"/>
      <name val="Arial"/>
      <family val="2"/>
    </font>
    <font>
      <b/>
      <sz val="10"/>
      <name val="Arial"/>
      <family val="2"/>
    </font>
    <font>
      <b/>
      <sz val="11"/>
      <name val="Arial"/>
      <family val="2"/>
    </font>
    <font>
      <sz val="11"/>
      <name val="Arial"/>
      <family val="2"/>
    </font>
    <font>
      <sz val="8"/>
      <name val="Arial"/>
      <family val="2"/>
    </font>
    <font>
      <b/>
      <sz val="20"/>
      <name val="Arial"/>
      <family val="2"/>
    </font>
    <font>
      <sz val="10"/>
      <name val="Arial"/>
      <family val="2"/>
    </font>
    <font>
      <b/>
      <sz val="8"/>
      <name val="Arial"/>
      <family val="2"/>
    </font>
    <font>
      <sz val="10"/>
      <color theme="1"/>
      <name val="Arial"/>
      <family val="2"/>
    </font>
    <font>
      <sz val="8"/>
      <color theme="1"/>
      <name val="Arial"/>
      <family val="2"/>
    </font>
    <font>
      <sz val="10"/>
      <name val="Times New Roman"/>
      <family val="1"/>
    </font>
    <font>
      <sz val="11"/>
      <color rgb="FF000000"/>
      <name val="Arial"/>
      <family val="2"/>
    </font>
    <font>
      <b/>
      <sz val="10"/>
      <color theme="1"/>
      <name val="Arial"/>
      <family val="2"/>
    </font>
    <font>
      <sz val="10"/>
      <color rgb="FF1F497D"/>
      <name val="Calibri"/>
      <family val="2"/>
    </font>
    <font>
      <sz val="6"/>
      <name val="Arial"/>
      <family val="2"/>
    </font>
    <font>
      <b/>
      <sz val="9"/>
      <name val="Arial"/>
      <family val="2"/>
    </font>
    <font>
      <sz val="8"/>
      <color rgb="FFFF0000"/>
      <name val="Arial"/>
      <family val="2"/>
    </font>
    <font>
      <b/>
      <u/>
      <sz val="11"/>
      <name val="Arial"/>
      <family val="2"/>
    </font>
    <font>
      <u/>
      <sz val="11"/>
      <name val="Arial"/>
      <family val="2"/>
    </font>
    <font>
      <sz val="12"/>
      <name val="Arial"/>
      <family val="2"/>
    </font>
    <font>
      <b/>
      <sz val="7"/>
      <name val="Arial"/>
      <family val="2"/>
    </font>
    <font>
      <sz val="7"/>
      <name val="Arial"/>
      <family val="2"/>
    </font>
    <font>
      <b/>
      <u/>
      <sz val="10"/>
      <name val="Arial"/>
      <family val="2"/>
    </font>
    <font>
      <b/>
      <vertAlign val="subscript"/>
      <sz val="10"/>
      <name val="Arial"/>
      <family val="2"/>
    </font>
    <font>
      <b/>
      <sz val="10"/>
      <color rgb="FFFF0000"/>
      <name val="Arial"/>
      <family val="2"/>
    </font>
    <font>
      <sz val="10"/>
      <color rgb="FFFF0000"/>
      <name val="Arial"/>
      <family val="2"/>
    </font>
    <font>
      <b/>
      <sz val="6"/>
      <name val="Arial"/>
      <family val="2"/>
    </font>
    <font>
      <b/>
      <sz val="11"/>
      <color rgb="FFFF0000"/>
      <name val="Arial"/>
      <family val="2"/>
    </font>
    <font>
      <b/>
      <i/>
      <sz val="11"/>
      <name val="Arial"/>
      <family val="2"/>
    </font>
    <font>
      <b/>
      <i/>
      <sz val="9"/>
      <name val="Arial"/>
      <family val="2"/>
    </font>
    <font>
      <sz val="9"/>
      <color indexed="81"/>
      <name val="Segoe UI"/>
      <family val="2"/>
    </font>
    <font>
      <b/>
      <sz val="9"/>
      <color indexed="81"/>
      <name val="Segoe UI"/>
      <family val="2"/>
    </font>
    <font>
      <sz val="11"/>
      <color theme="1"/>
      <name val="Arial"/>
      <family val="2"/>
    </font>
    <font>
      <b/>
      <u/>
      <sz val="9"/>
      <name val="Arial"/>
      <family val="2"/>
    </font>
    <font>
      <sz val="8"/>
      <name val="Calibri"/>
      <family val="2"/>
    </font>
    <font>
      <b/>
      <sz val="8"/>
      <color rgb="FFFF0000"/>
      <name val="Arial"/>
      <family val="2"/>
    </font>
    <font>
      <sz val="10"/>
      <color rgb="FF0070C0"/>
      <name val="Arial"/>
      <family val="2"/>
    </font>
    <font>
      <sz val="10"/>
      <color rgb="FFC00000"/>
      <name val="Arial"/>
      <family val="2"/>
    </font>
    <font>
      <sz val="9"/>
      <color rgb="FFFF0000"/>
      <name val="Arial"/>
      <family val="2"/>
    </font>
  </fonts>
  <fills count="13">
    <fill>
      <patternFill patternType="none"/>
    </fill>
    <fill>
      <patternFill patternType="gray125"/>
    </fill>
    <fill>
      <patternFill patternType="solid">
        <fgColor indexed="26"/>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0"/>
        <bgColor indexed="64"/>
      </patternFill>
    </fill>
    <fill>
      <patternFill patternType="solid">
        <fgColor theme="3" tint="0.79998168889431442"/>
        <bgColor indexed="64"/>
      </patternFill>
    </fill>
    <fill>
      <patternFill patternType="solid">
        <fgColor theme="9"/>
        <bgColor indexed="64"/>
      </patternFill>
    </fill>
    <fill>
      <patternFill patternType="solid">
        <fgColor theme="1"/>
        <bgColor indexed="64"/>
      </patternFill>
    </fill>
    <fill>
      <patternFill patternType="solid">
        <fgColor theme="9" tint="0.59999389629810485"/>
        <bgColor indexed="64"/>
      </patternFill>
    </fill>
    <fill>
      <patternFill patternType="solid">
        <fgColor rgb="FFF4F5D3"/>
        <bgColor indexed="64"/>
      </patternFill>
    </fill>
  </fills>
  <borders count="72">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medium">
        <color indexed="64"/>
      </top>
      <bottom style="thin">
        <color indexed="64"/>
      </bottom>
      <diagonal/>
    </border>
    <border>
      <left style="thin">
        <color indexed="64"/>
      </left>
      <right style="thin">
        <color indexed="64"/>
      </right>
      <top/>
      <bottom/>
      <diagonal/>
    </border>
    <border>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thin">
        <color indexed="64"/>
      </top>
      <bottom/>
      <diagonal/>
    </border>
    <border>
      <left style="thin">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medium">
        <color indexed="64"/>
      </left>
      <right/>
      <top style="medium">
        <color indexed="64"/>
      </top>
      <bottom/>
      <diagonal/>
    </border>
    <border>
      <left/>
      <right style="thin">
        <color indexed="64"/>
      </right>
      <top style="medium">
        <color indexed="64"/>
      </top>
      <bottom/>
      <diagonal/>
    </border>
    <border>
      <left/>
      <right style="medium">
        <color indexed="64"/>
      </right>
      <top/>
      <bottom/>
      <diagonal/>
    </border>
    <border>
      <left style="thin">
        <color indexed="64"/>
      </left>
      <right style="thin">
        <color indexed="64"/>
      </right>
      <top style="medium">
        <color indexed="64"/>
      </top>
      <bottom/>
      <diagonal/>
    </border>
    <border>
      <left/>
      <right style="thin">
        <color indexed="64"/>
      </right>
      <top/>
      <bottom/>
      <diagonal/>
    </border>
    <border>
      <left style="medium">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hair">
        <color indexed="64"/>
      </bottom>
      <diagonal/>
    </border>
    <border>
      <left style="thick">
        <color indexed="64"/>
      </left>
      <right/>
      <top style="thick">
        <color indexed="64"/>
      </top>
      <bottom/>
      <diagonal/>
    </border>
    <border>
      <left/>
      <right/>
      <top style="thick">
        <color indexed="64"/>
      </top>
      <bottom/>
      <diagonal/>
    </border>
    <border>
      <left/>
      <right style="thin">
        <color indexed="64"/>
      </right>
      <top style="thick">
        <color indexed="64"/>
      </top>
      <bottom/>
      <diagonal/>
    </border>
    <border>
      <left style="thin">
        <color indexed="64"/>
      </left>
      <right/>
      <top style="thick">
        <color indexed="64"/>
      </top>
      <bottom/>
      <diagonal/>
    </border>
    <border>
      <left style="thin">
        <color indexed="64"/>
      </left>
      <right style="thin">
        <color indexed="64"/>
      </right>
      <top style="thick">
        <color indexed="64"/>
      </top>
      <bottom/>
      <diagonal/>
    </border>
    <border>
      <left style="thin">
        <color indexed="64"/>
      </left>
      <right/>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medium">
        <color indexed="64"/>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theme="4"/>
      </left>
      <right/>
      <top style="thin">
        <color theme="4"/>
      </top>
      <bottom/>
      <diagonal/>
    </border>
    <border>
      <left style="thin">
        <color rgb="FF999999"/>
      </left>
      <right/>
      <top style="thin">
        <color rgb="FF999999"/>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diagonalUp="1" diagonalDown="1">
      <left style="thin">
        <color indexed="64"/>
      </left>
      <right/>
      <top style="thin">
        <color indexed="64"/>
      </top>
      <bottom/>
      <diagonal style="thin">
        <color indexed="64"/>
      </diagonal>
    </border>
    <border diagonalUp="1" diagonalDown="1">
      <left style="thin">
        <color indexed="64"/>
      </left>
      <right/>
      <top/>
      <bottom style="thin">
        <color indexed="64"/>
      </bottom>
      <diagonal style="thin">
        <color indexed="64"/>
      </diagonal>
    </border>
    <border>
      <left style="thin">
        <color theme="4"/>
      </left>
      <right/>
      <top style="thin">
        <color theme="4"/>
      </top>
      <bottom style="thin">
        <color theme="4"/>
      </bottom>
      <diagonal/>
    </border>
    <border>
      <left style="medium">
        <color indexed="64"/>
      </left>
      <right/>
      <top style="thin">
        <color indexed="64"/>
      </top>
      <bottom style="medium">
        <color indexed="64"/>
      </bottom>
      <diagonal/>
    </border>
  </borders>
  <cellStyleXfs count="3">
    <xf numFmtId="0" fontId="0" fillId="0" borderId="0"/>
    <xf numFmtId="9" fontId="3" fillId="0" borderId="0" applyFont="0" applyFill="0" applyBorder="0" applyAlignment="0" applyProtection="0"/>
    <xf numFmtId="0" fontId="15" fillId="0" borderId="0"/>
  </cellStyleXfs>
  <cellXfs count="869">
    <xf numFmtId="0" fontId="0" fillId="0" borderId="0" xfId="0"/>
    <xf numFmtId="0" fontId="4" fillId="0" borderId="0" xfId="0" applyFont="1"/>
    <xf numFmtId="0" fontId="3" fillId="0" borderId="0" xfId="0" applyFont="1"/>
    <xf numFmtId="0" fontId="7" fillId="0" borderId="0" xfId="0" applyFont="1" applyAlignment="1">
      <alignment vertical="center"/>
    </xf>
    <xf numFmtId="0" fontId="7" fillId="0" borderId="0" xfId="0" applyFont="1" applyAlignment="1">
      <alignment horizontal="right" vertical="center"/>
    </xf>
    <xf numFmtId="0" fontId="7" fillId="0" borderId="0" xfId="0" applyFont="1"/>
    <xf numFmtId="0" fontId="3" fillId="0" borderId="0" xfId="0" applyFont="1" applyAlignment="1">
      <alignment vertical="center"/>
    </xf>
    <xf numFmtId="0" fontId="3" fillId="0" borderId="0" xfId="0" applyFont="1" applyAlignment="1">
      <alignment horizontal="right" vertical="center"/>
    </xf>
    <xf numFmtId="0" fontId="10" fillId="0" borderId="0" xfId="0" applyFont="1"/>
    <xf numFmtId="0" fontId="0" fillId="0" borderId="0" xfId="0" applyAlignment="1">
      <alignment horizontal="center"/>
    </xf>
    <xf numFmtId="0" fontId="11" fillId="0" borderId="0" xfId="0" applyFont="1"/>
    <xf numFmtId="0" fontId="10" fillId="0" borderId="0" xfId="0" applyFont="1" applyAlignment="1">
      <alignment horizontal="center"/>
    </xf>
    <xf numFmtId="0" fontId="9" fillId="0" borderId="0" xfId="0" applyFont="1" applyAlignment="1">
      <alignment horizontal="center" vertical="center" wrapText="1"/>
    </xf>
    <xf numFmtId="172" fontId="14" fillId="0" borderId="0" xfId="2" applyNumberFormat="1" applyFont="1" applyAlignment="1">
      <alignment horizontal="center" vertical="center" wrapText="1"/>
    </xf>
    <xf numFmtId="0" fontId="16" fillId="0" borderId="0" xfId="0" applyFont="1" applyAlignment="1">
      <alignment horizontal="center"/>
    </xf>
    <xf numFmtId="168" fontId="16" fillId="0" borderId="0" xfId="0" applyNumberFormat="1" applyFont="1" applyAlignment="1">
      <alignment horizontal="center"/>
    </xf>
    <xf numFmtId="170" fontId="14" fillId="0" borderId="0" xfId="2" applyNumberFormat="1" applyFont="1" applyAlignment="1">
      <alignment horizontal="center" vertical="center" wrapText="1"/>
    </xf>
    <xf numFmtId="170" fontId="16" fillId="0" borderId="0" xfId="0" applyNumberFormat="1" applyFont="1" applyAlignment="1">
      <alignment horizontal="center"/>
    </xf>
    <xf numFmtId="170" fontId="0" fillId="0" borderId="0" xfId="0" applyNumberFormat="1" applyAlignment="1">
      <alignment horizontal="center"/>
    </xf>
    <xf numFmtId="170" fontId="11" fillId="0" borderId="0" xfId="0" applyNumberFormat="1" applyFont="1" applyAlignment="1">
      <alignment horizontal="center"/>
    </xf>
    <xf numFmtId="174" fontId="7" fillId="2" borderId="0" xfId="0" applyNumberFormat="1" applyFont="1" applyFill="1" applyAlignment="1">
      <alignment horizontal="left" vertical="center"/>
    </xf>
    <xf numFmtId="174" fontId="11" fillId="2" borderId="0" xfId="0" applyNumberFormat="1" applyFont="1" applyFill="1" applyAlignment="1">
      <alignment horizontal="left" vertical="center"/>
    </xf>
    <xf numFmtId="0" fontId="10" fillId="0" borderId="0" xfId="0" applyFont="1" applyAlignment="1">
      <alignment vertical="center"/>
    </xf>
    <xf numFmtId="0" fontId="3" fillId="0" borderId="0" xfId="0" applyFont="1" applyAlignment="1">
      <alignment horizontal="center"/>
    </xf>
    <xf numFmtId="0" fontId="0" fillId="0" borderId="5" xfId="0" applyBorder="1"/>
    <xf numFmtId="49" fontId="3" fillId="0" borderId="5" xfId="0" applyNumberFormat="1" applyFont="1" applyBorder="1" applyAlignment="1">
      <alignment horizontal="center" vertical="center"/>
    </xf>
    <xf numFmtId="0" fontId="0" fillId="0" borderId="5" xfId="0" applyBorder="1" applyAlignment="1">
      <alignment horizontal="center"/>
    </xf>
    <xf numFmtId="0" fontId="0" fillId="0" borderId="12" xfId="0" applyBorder="1" applyAlignment="1">
      <alignment horizontal="center"/>
    </xf>
    <xf numFmtId="0" fontId="19" fillId="0" borderId="0" xfId="0" applyFont="1" applyAlignment="1">
      <alignment horizontal="center"/>
    </xf>
    <xf numFmtId="0" fontId="16" fillId="0" borderId="5" xfId="0" applyFont="1" applyBorder="1" applyAlignment="1">
      <alignment horizontal="center"/>
    </xf>
    <xf numFmtId="0" fontId="0" fillId="4" borderId="0" xfId="0" applyFill="1" applyAlignment="1">
      <alignment horizontal="center"/>
    </xf>
    <xf numFmtId="0" fontId="0" fillId="0" borderId="0" xfId="0" applyAlignment="1">
      <alignment vertical="center"/>
    </xf>
    <xf numFmtId="0" fontId="9" fillId="0" borderId="42" xfId="0" applyFont="1" applyBorder="1" applyAlignment="1">
      <alignment horizontal="center" vertical="center" wrapText="1"/>
    </xf>
    <xf numFmtId="0" fontId="0" fillId="0" borderId="43" xfId="0" applyBorder="1"/>
    <xf numFmtId="0" fontId="3" fillId="0" borderId="43" xfId="0" applyFont="1" applyBorder="1"/>
    <xf numFmtId="0" fontId="3" fillId="0" borderId="44" xfId="0" applyFont="1" applyBorder="1" applyAlignment="1">
      <alignment horizontal="left"/>
    </xf>
    <xf numFmtId="0" fontId="9" fillId="0" borderId="42" xfId="0" applyFont="1" applyBorder="1" applyAlignment="1">
      <alignment vertical="center" wrapText="1"/>
    </xf>
    <xf numFmtId="0" fontId="3" fillId="0" borderId="43" xfId="0" applyFont="1" applyBorder="1" applyAlignment="1">
      <alignment vertical="center" wrapText="1"/>
    </xf>
    <xf numFmtId="0" fontId="3" fillId="0" borderId="44" xfId="0" applyFont="1" applyBorder="1" applyAlignment="1">
      <alignment vertical="center"/>
    </xf>
    <xf numFmtId="166" fontId="10" fillId="0" borderId="43" xfId="0" applyNumberFormat="1" applyFont="1" applyBorder="1" applyAlignment="1">
      <alignment horizontal="center"/>
    </xf>
    <xf numFmtId="166" fontId="0" fillId="0" borderId="43" xfId="0" applyNumberFormat="1" applyBorder="1" applyAlignment="1">
      <alignment horizontal="center"/>
    </xf>
    <xf numFmtId="170" fontId="0" fillId="3" borderId="0" xfId="0" applyNumberFormat="1" applyFill="1" applyAlignment="1">
      <alignment horizontal="center" vertical="center"/>
    </xf>
    <xf numFmtId="165" fontId="10" fillId="0" borderId="0" xfId="0" applyNumberFormat="1" applyFont="1" applyAlignment="1">
      <alignment horizontal="center" vertical="center"/>
    </xf>
    <xf numFmtId="170" fontId="1" fillId="0" borderId="0" xfId="0" applyNumberFormat="1" applyFont="1" applyAlignment="1">
      <alignment horizontal="center"/>
    </xf>
    <xf numFmtId="0" fontId="6" fillId="0" borderId="32" xfId="0" applyFont="1" applyBorder="1" applyAlignment="1">
      <alignment horizontal="center" vertical="center" wrapText="1"/>
    </xf>
    <xf numFmtId="0" fontId="9" fillId="0" borderId="29" xfId="0" applyFont="1" applyBorder="1" applyAlignment="1">
      <alignment horizontal="center" vertical="center" wrapText="1"/>
    </xf>
    <xf numFmtId="0" fontId="0" fillId="0" borderId="28" xfId="0" applyBorder="1"/>
    <xf numFmtId="0" fontId="9" fillId="0" borderId="32" xfId="0" applyFont="1" applyBorder="1" applyAlignment="1">
      <alignment horizontal="center" vertical="center" wrapText="1"/>
    </xf>
    <xf numFmtId="0" fontId="9" fillId="0" borderId="13" xfId="0" applyFont="1" applyBorder="1" applyAlignment="1">
      <alignment horizontal="center" vertical="center" wrapText="1"/>
    </xf>
    <xf numFmtId="0" fontId="6" fillId="0" borderId="29" xfId="0" applyFont="1" applyBorder="1" applyAlignment="1">
      <alignment horizontal="center" vertical="center" wrapText="1"/>
    </xf>
    <xf numFmtId="0" fontId="0" fillId="0" borderId="34" xfId="0" applyBorder="1"/>
    <xf numFmtId="0" fontId="0" fillId="0" borderId="34" xfId="0" applyBorder="1" applyAlignment="1">
      <alignment horizontal="center"/>
    </xf>
    <xf numFmtId="0" fontId="10" fillId="0" borderId="41" xfId="0" applyFont="1" applyBorder="1" applyAlignment="1">
      <alignment horizontal="center" vertical="center"/>
    </xf>
    <xf numFmtId="0" fontId="3" fillId="0" borderId="34" xfId="0" applyFont="1" applyBorder="1" applyAlignment="1">
      <alignment horizontal="center"/>
    </xf>
    <xf numFmtId="0" fontId="0" fillId="0" borderId="41" xfId="0" applyBorder="1"/>
    <xf numFmtId="0" fontId="0" fillId="0" borderId="37" xfId="0" applyBorder="1"/>
    <xf numFmtId="0" fontId="0" fillId="0" borderId="27" xfId="0" applyBorder="1" applyAlignment="1">
      <alignment horizontal="center"/>
    </xf>
    <xf numFmtId="0" fontId="0" fillId="0" borderId="44" xfId="0" applyBorder="1"/>
    <xf numFmtId="0" fontId="6" fillId="0" borderId="13" xfId="0" applyFont="1" applyBorder="1" applyAlignment="1">
      <alignment horizontal="center" vertical="center" wrapText="1"/>
    </xf>
    <xf numFmtId="165" fontId="10" fillId="0" borderId="27" xfId="0" applyNumberFormat="1" applyFont="1" applyBorder="1" applyAlignment="1">
      <alignment horizontal="center" vertical="center"/>
    </xf>
    <xf numFmtId="165" fontId="3" fillId="0" borderId="0" xfId="0" applyNumberFormat="1" applyFont="1" applyAlignment="1">
      <alignment horizontal="center" vertical="center"/>
    </xf>
    <xf numFmtId="0" fontId="0" fillId="0" borderId="12" xfId="0" applyBorder="1"/>
    <xf numFmtId="164" fontId="0" fillId="0" borderId="5" xfId="0" applyNumberFormat="1" applyBorder="1" applyAlignment="1">
      <alignment horizontal="center" vertical="center"/>
    </xf>
    <xf numFmtId="49" fontId="0" fillId="0" borderId="5" xfId="0" applyNumberFormat="1" applyBorder="1" applyAlignment="1">
      <alignment horizontal="center"/>
    </xf>
    <xf numFmtId="0" fontId="0" fillId="0" borderId="5" xfId="0" applyBorder="1" applyAlignment="1">
      <alignment horizontal="center" vertical="center"/>
    </xf>
    <xf numFmtId="0" fontId="6" fillId="0" borderId="0" xfId="0" applyFont="1" applyAlignment="1">
      <alignment horizontal="center" vertical="center" wrapText="1"/>
    </xf>
    <xf numFmtId="0" fontId="3" fillId="0" borderId="43" xfId="0" applyFont="1" applyBorder="1" applyAlignment="1">
      <alignment horizontal="left"/>
    </xf>
    <xf numFmtId="0" fontId="3" fillId="0" borderId="41" xfId="0" applyFont="1" applyBorder="1" applyAlignment="1">
      <alignment horizontal="center"/>
    </xf>
    <xf numFmtId="49" fontId="3" fillId="0" borderId="12" xfId="0" applyNumberFormat="1" applyFont="1" applyBorder="1" applyAlignment="1">
      <alignment horizontal="center" vertical="center"/>
    </xf>
    <xf numFmtId="165" fontId="0" fillId="0" borderId="43" xfId="0" applyNumberFormat="1" applyBorder="1" applyAlignment="1">
      <alignment horizontal="center"/>
    </xf>
    <xf numFmtId="0" fontId="6" fillId="0" borderId="42" xfId="0" applyFont="1" applyBorder="1" applyAlignment="1">
      <alignment horizontal="center" vertical="center" wrapText="1"/>
    </xf>
    <xf numFmtId="184" fontId="10" fillId="3" borderId="0" xfId="0" applyNumberFormat="1" applyFont="1" applyFill="1" applyAlignment="1">
      <alignment horizontal="center"/>
    </xf>
    <xf numFmtId="184" fontId="10" fillId="0" borderId="0" xfId="0" applyNumberFormat="1" applyFont="1" applyAlignment="1">
      <alignment horizontal="center"/>
    </xf>
    <xf numFmtId="184" fontId="0" fillId="0" borderId="0" xfId="0" applyNumberFormat="1" applyAlignment="1">
      <alignment horizontal="center"/>
    </xf>
    <xf numFmtId="0" fontId="3" fillId="0" borderId="5" xfId="0" applyFont="1" applyBorder="1" applyAlignment="1">
      <alignment horizontal="center" vertical="center"/>
    </xf>
    <xf numFmtId="0" fontId="1" fillId="0" borderId="0" xfId="0" applyFont="1" applyAlignment="1">
      <alignment horizontal="center"/>
    </xf>
    <xf numFmtId="0" fontId="13" fillId="6" borderId="12" xfId="0" applyFont="1" applyFill="1" applyBorder="1" applyAlignment="1">
      <alignment horizontal="center" vertical="center"/>
    </xf>
    <xf numFmtId="0" fontId="13" fillId="6" borderId="7" xfId="0" applyFont="1" applyFill="1" applyBorder="1" applyAlignment="1">
      <alignment horizontal="center" vertical="center"/>
    </xf>
    <xf numFmtId="0" fontId="13" fillId="0" borderId="0" xfId="0" applyFont="1"/>
    <xf numFmtId="0" fontId="13" fillId="0" borderId="22" xfId="0" applyFont="1" applyBorder="1" applyAlignment="1">
      <alignment horizontal="center" vertical="center" wrapText="1"/>
    </xf>
    <xf numFmtId="0" fontId="13" fillId="0" borderId="23" xfId="0" applyFont="1" applyBorder="1" applyAlignment="1">
      <alignment horizontal="center" vertical="center" wrapText="1"/>
    </xf>
    <xf numFmtId="0" fontId="13" fillId="2" borderId="12" xfId="0" applyFont="1" applyFill="1" applyBorder="1" applyAlignment="1" applyProtection="1">
      <alignment horizontal="center" vertical="center"/>
      <protection locked="0"/>
    </xf>
    <xf numFmtId="0" fontId="13" fillId="2" borderId="10" xfId="0" applyFont="1" applyFill="1" applyBorder="1" applyAlignment="1" applyProtection="1">
      <alignment horizontal="center" vertical="center"/>
      <protection locked="0"/>
    </xf>
    <xf numFmtId="0" fontId="13" fillId="0" borderId="7" xfId="0" applyFont="1" applyBorder="1" applyAlignment="1" applyProtection="1">
      <alignment horizontal="center" vertical="center"/>
      <protection locked="0"/>
    </xf>
    <xf numFmtId="0" fontId="1" fillId="0" borderId="0" xfId="0" applyFont="1"/>
    <xf numFmtId="0" fontId="3" fillId="0" borderId="43" xfId="0" applyFont="1" applyBorder="1" applyAlignment="1">
      <alignment horizontal="center" vertical="center"/>
    </xf>
    <xf numFmtId="1" fontId="13" fillId="0" borderId="12" xfId="0" applyNumberFormat="1" applyFont="1" applyBorder="1" applyAlignment="1" applyProtection="1">
      <alignment horizontal="center" vertical="center"/>
      <protection locked="0"/>
    </xf>
    <xf numFmtId="0" fontId="13" fillId="7" borderId="7" xfId="0" applyFont="1" applyFill="1" applyBorder="1" applyAlignment="1" applyProtection="1">
      <alignment horizontal="center" vertical="center"/>
      <protection locked="0"/>
    </xf>
    <xf numFmtId="0" fontId="0" fillId="0" borderId="41" xfId="0" applyBorder="1" applyAlignment="1">
      <alignment horizontal="center"/>
    </xf>
    <xf numFmtId="0" fontId="0" fillId="0" borderId="0" xfId="0" applyAlignment="1">
      <alignment horizontal="center" vertical="center"/>
    </xf>
    <xf numFmtId="0" fontId="0" fillId="0" borderId="37" xfId="0" applyBorder="1" applyAlignment="1">
      <alignment horizontal="center"/>
    </xf>
    <xf numFmtId="0" fontId="0" fillId="0" borderId="24" xfId="0" applyBorder="1" applyAlignment="1">
      <alignment horizontal="center"/>
    </xf>
    <xf numFmtId="0" fontId="1" fillId="0" borderId="27" xfId="0" applyFont="1" applyBorder="1" applyAlignment="1">
      <alignment horizontal="center"/>
    </xf>
    <xf numFmtId="0" fontId="3" fillId="0" borderId="28" xfId="0" applyFont="1" applyBorder="1" applyAlignment="1">
      <alignment horizontal="center"/>
    </xf>
    <xf numFmtId="0" fontId="0" fillId="0" borderId="32" xfId="0" applyBorder="1"/>
    <xf numFmtId="0" fontId="0" fillId="0" borderId="13" xfId="0" applyBorder="1"/>
    <xf numFmtId="0" fontId="0" fillId="0" borderId="17" xfId="0" applyBorder="1" applyAlignment="1">
      <alignment horizontal="center" vertical="center"/>
    </xf>
    <xf numFmtId="49" fontId="3" fillId="0" borderId="17" xfId="0" applyNumberFormat="1" applyFont="1" applyBorder="1" applyAlignment="1">
      <alignment horizontal="center" vertical="center"/>
    </xf>
    <xf numFmtId="0" fontId="3" fillId="0" borderId="17" xfId="0" applyFont="1" applyBorder="1" applyAlignment="1">
      <alignment horizontal="center" vertical="center"/>
    </xf>
    <xf numFmtId="0" fontId="0" fillId="0" borderId="24" xfId="0" applyBorder="1"/>
    <xf numFmtId="0" fontId="0" fillId="0" borderId="26" xfId="0" applyBorder="1" applyAlignment="1">
      <alignment horizontal="center"/>
    </xf>
    <xf numFmtId="0" fontId="17" fillId="0" borderId="0" xfId="0" applyFont="1" applyAlignment="1">
      <alignment wrapText="1"/>
    </xf>
    <xf numFmtId="0" fontId="0" fillId="0" borderId="44" xfId="0" applyBorder="1" applyAlignment="1">
      <alignment horizontal="center"/>
    </xf>
    <xf numFmtId="0" fontId="0" fillId="0" borderId="17" xfId="0" applyBorder="1"/>
    <xf numFmtId="49" fontId="0" fillId="0" borderId="24" xfId="0" applyNumberFormat="1" applyBorder="1"/>
    <xf numFmtId="49" fontId="0" fillId="0" borderId="26" xfId="0" applyNumberFormat="1" applyBorder="1"/>
    <xf numFmtId="0" fontId="0" fillId="0" borderId="17" xfId="0" applyBorder="1" applyAlignment="1">
      <alignment horizontal="center"/>
    </xf>
    <xf numFmtId="0" fontId="3" fillId="0" borderId="42" xfId="0" applyFont="1" applyBorder="1" applyAlignment="1">
      <alignment horizontal="center"/>
    </xf>
    <xf numFmtId="0" fontId="3" fillId="0" borderId="24" xfId="0" applyFont="1" applyBorder="1" applyAlignment="1">
      <alignment horizontal="center"/>
    </xf>
    <xf numFmtId="0" fontId="13" fillId="7" borderId="12" xfId="0" applyFont="1" applyFill="1" applyBorder="1" applyAlignment="1" applyProtection="1">
      <alignment horizontal="center" vertical="center"/>
      <protection locked="0"/>
    </xf>
    <xf numFmtId="0" fontId="3" fillId="0" borderId="5" xfId="0" applyFont="1" applyBorder="1" applyAlignment="1">
      <alignment horizontal="center"/>
    </xf>
    <xf numFmtId="0" fontId="0" fillId="0" borderId="31" xfId="0" applyBorder="1" applyAlignment="1">
      <alignment horizontal="center" vertical="center"/>
    </xf>
    <xf numFmtId="164" fontId="0" fillId="0" borderId="24" xfId="0" applyNumberFormat="1" applyBorder="1" applyAlignment="1">
      <alignment horizontal="center" vertical="center"/>
    </xf>
    <xf numFmtId="49" fontId="0" fillId="0" borderId="5" xfId="0" applyNumberFormat="1" applyBorder="1" applyAlignment="1">
      <alignment horizontal="center" vertical="center"/>
    </xf>
    <xf numFmtId="49" fontId="0" fillId="0" borderId="17" xfId="0" applyNumberFormat="1" applyBorder="1" applyAlignment="1">
      <alignment horizontal="center" vertical="center"/>
    </xf>
    <xf numFmtId="0" fontId="10" fillId="0" borderId="43" xfId="0" applyFont="1" applyBorder="1" applyAlignment="1">
      <alignment horizontal="center"/>
    </xf>
    <xf numFmtId="0" fontId="13" fillId="0" borderId="12" xfId="0" applyFont="1" applyBorder="1" applyAlignment="1" applyProtection="1">
      <alignment horizontal="center" vertical="center"/>
      <protection locked="0"/>
    </xf>
    <xf numFmtId="0" fontId="3" fillId="0" borderId="32" xfId="0" applyFont="1" applyBorder="1"/>
    <xf numFmtId="0" fontId="0" fillId="0" borderId="29" xfId="0" applyBorder="1"/>
    <xf numFmtId="0" fontId="3" fillId="0" borderId="37" xfId="0" applyFont="1" applyBorder="1"/>
    <xf numFmtId="0" fontId="0" fillId="0" borderId="27" xfId="0" applyBorder="1"/>
    <xf numFmtId="0" fontId="0" fillId="0" borderId="16" xfId="0" applyBorder="1" applyAlignment="1">
      <alignment horizontal="center" vertical="center"/>
    </xf>
    <xf numFmtId="0" fontId="0" fillId="0" borderId="9" xfId="0" applyBorder="1" applyAlignment="1">
      <alignment horizontal="center" vertical="center"/>
    </xf>
    <xf numFmtId="0" fontId="6" fillId="0" borderId="0" xfId="0" applyFont="1" applyAlignment="1">
      <alignment horizontal="center"/>
    </xf>
    <xf numFmtId="0" fontId="6" fillId="0" borderId="42" xfId="0" applyFont="1" applyBorder="1" applyAlignment="1">
      <alignment horizontal="center"/>
    </xf>
    <xf numFmtId="0" fontId="3" fillId="0" borderId="43" xfId="0" applyFont="1" applyBorder="1" applyAlignment="1">
      <alignment horizontal="center"/>
    </xf>
    <xf numFmtId="0" fontId="3" fillId="0" borderId="44" xfId="0" applyFont="1" applyBorder="1" applyAlignment="1">
      <alignment horizontal="center"/>
    </xf>
    <xf numFmtId="0" fontId="11" fillId="0" borderId="53" xfId="0" applyFont="1" applyBorder="1" applyAlignment="1">
      <alignment vertical="center"/>
    </xf>
    <xf numFmtId="0" fontId="3" fillId="0" borderId="0" xfId="0" applyFont="1" applyAlignment="1">
      <alignment horizontal="center" vertical="center"/>
    </xf>
    <xf numFmtId="0" fontId="3" fillId="0" borderId="36" xfId="0" applyFont="1" applyBorder="1" applyAlignment="1">
      <alignment horizontal="center"/>
    </xf>
    <xf numFmtId="0" fontId="3" fillId="0" borderId="41" xfId="0" applyFont="1" applyBorder="1"/>
    <xf numFmtId="170" fontId="0" fillId="4" borderId="0" xfId="0" applyNumberFormat="1" applyFill="1" applyAlignment="1">
      <alignment horizontal="center"/>
    </xf>
    <xf numFmtId="170" fontId="0" fillId="0" borderId="0" xfId="0" applyNumberFormat="1"/>
    <xf numFmtId="170" fontId="0" fillId="0" borderId="34" xfId="0" applyNumberFormat="1" applyBorder="1"/>
    <xf numFmtId="165" fontId="10" fillId="0" borderId="34" xfId="0" applyNumberFormat="1" applyFont="1" applyBorder="1" applyAlignment="1">
      <alignment horizontal="center" vertical="center"/>
    </xf>
    <xf numFmtId="165" fontId="10" fillId="0" borderId="28" xfId="0" applyNumberFormat="1" applyFont="1" applyBorder="1" applyAlignment="1">
      <alignment horizontal="center" vertical="center"/>
    </xf>
    <xf numFmtId="170" fontId="0" fillId="0" borderId="41" xfId="0" applyNumberFormat="1" applyBorder="1" applyAlignment="1">
      <alignment horizontal="center"/>
    </xf>
    <xf numFmtId="0" fontId="3" fillId="0" borderId="32" xfId="0" applyFont="1" applyBorder="1" applyAlignment="1">
      <alignment horizontal="center"/>
    </xf>
    <xf numFmtId="176" fontId="1" fillId="0" borderId="0" xfId="0" applyNumberFormat="1" applyFont="1" applyAlignment="1">
      <alignment horizontal="center" vertical="center"/>
    </xf>
    <xf numFmtId="176" fontId="1" fillId="0" borderId="27" xfId="0" applyNumberFormat="1" applyFont="1" applyBorder="1" applyAlignment="1">
      <alignment horizontal="center" vertical="center"/>
    </xf>
    <xf numFmtId="176" fontId="1" fillId="0" borderId="28" xfId="0" applyNumberFormat="1" applyFont="1" applyBorder="1" applyAlignment="1">
      <alignment horizontal="center" vertical="center"/>
    </xf>
    <xf numFmtId="0" fontId="13" fillId="0" borderId="0" xfId="0" applyFont="1" applyAlignment="1">
      <alignment horizontal="center"/>
    </xf>
    <xf numFmtId="176" fontId="1" fillId="0" borderId="0" xfId="0" applyNumberFormat="1" applyFont="1" applyAlignment="1">
      <alignment horizontal="center"/>
    </xf>
    <xf numFmtId="176" fontId="1" fillId="0" borderId="34" xfId="0" applyNumberFormat="1" applyFont="1" applyBorder="1" applyAlignment="1">
      <alignment horizontal="center"/>
    </xf>
    <xf numFmtId="170" fontId="0" fillId="0" borderId="16" xfId="0" applyNumberFormat="1" applyBorder="1"/>
    <xf numFmtId="176" fontId="1" fillId="0" borderId="16" xfId="0" applyNumberFormat="1" applyFont="1" applyBorder="1" applyAlignment="1">
      <alignment horizontal="center"/>
    </xf>
    <xf numFmtId="176" fontId="1" fillId="0" borderId="54" xfId="0" applyNumberFormat="1" applyFont="1" applyBorder="1" applyAlignment="1">
      <alignment horizontal="center" vertical="center"/>
    </xf>
    <xf numFmtId="169" fontId="3" fillId="0" borderId="41" xfId="0" applyNumberFormat="1" applyFont="1" applyBorder="1" applyAlignment="1">
      <alignment horizontal="center" vertical="center"/>
    </xf>
    <xf numFmtId="165" fontId="0" fillId="0" borderId="0" xfId="0" applyNumberFormat="1"/>
    <xf numFmtId="169" fontId="3" fillId="5" borderId="41" xfId="0" applyNumberFormat="1" applyFont="1" applyFill="1" applyBorder="1" applyAlignment="1">
      <alignment horizontal="center" vertical="center"/>
    </xf>
    <xf numFmtId="0" fontId="0" fillId="5" borderId="0" xfId="0" applyFill="1" applyAlignment="1">
      <alignment horizontal="center" vertical="center"/>
    </xf>
    <xf numFmtId="0" fontId="0" fillId="0" borderId="27" xfId="0" applyBorder="1" applyAlignment="1">
      <alignment horizontal="center" vertical="center"/>
    </xf>
    <xf numFmtId="0" fontId="0" fillId="0" borderId="34" xfId="0" applyBorder="1" applyAlignment="1">
      <alignment horizontal="center" vertical="center"/>
    </xf>
    <xf numFmtId="170" fontId="0" fillId="0" borderId="34" xfId="0" applyNumberFormat="1" applyBorder="1" applyAlignment="1">
      <alignment horizontal="center"/>
    </xf>
    <xf numFmtId="2" fontId="0" fillId="0" borderId="0" xfId="0" applyNumberFormat="1" applyAlignment="1">
      <alignment horizontal="center"/>
    </xf>
    <xf numFmtId="2" fontId="0" fillId="0" borderId="27" xfId="0" applyNumberFormat="1" applyBorder="1" applyAlignment="1">
      <alignment horizontal="center"/>
    </xf>
    <xf numFmtId="165" fontId="10" fillId="0" borderId="0" xfId="0" applyNumberFormat="1" applyFont="1" applyAlignment="1">
      <alignment vertical="center"/>
    </xf>
    <xf numFmtId="165" fontId="0" fillId="0" borderId="28" xfId="0" applyNumberFormat="1" applyBorder="1" applyAlignment="1">
      <alignment horizontal="center"/>
    </xf>
    <xf numFmtId="0" fontId="13" fillId="0" borderId="34" xfId="0" applyFont="1" applyBorder="1" applyAlignment="1">
      <alignment horizontal="center"/>
    </xf>
    <xf numFmtId="0" fontId="3" fillId="0" borderId="13" xfId="0" applyFont="1" applyBorder="1"/>
    <xf numFmtId="0" fontId="3" fillId="0" borderId="29" xfId="0" applyFont="1" applyBorder="1"/>
    <xf numFmtId="0" fontId="10" fillId="0" borderId="44" xfId="0" applyFont="1" applyBorder="1" applyAlignment="1">
      <alignment horizontal="center"/>
    </xf>
    <xf numFmtId="184" fontId="10" fillId="3" borderId="41" xfId="0" applyNumberFormat="1" applyFont="1" applyFill="1" applyBorder="1" applyAlignment="1">
      <alignment horizontal="center"/>
    </xf>
    <xf numFmtId="184" fontId="10" fillId="0" borderId="41" xfId="0" applyNumberFormat="1" applyFont="1" applyBorder="1" applyAlignment="1">
      <alignment horizontal="center"/>
    </xf>
    <xf numFmtId="0" fontId="3" fillId="0" borderId="34" xfId="0" applyFont="1" applyBorder="1" applyAlignment="1">
      <alignment horizontal="center" vertical="center"/>
    </xf>
    <xf numFmtId="184" fontId="0" fillId="0" borderId="41" xfId="0" applyNumberFormat="1" applyBorder="1" applyAlignment="1">
      <alignment horizontal="center"/>
    </xf>
    <xf numFmtId="0" fontId="0" fillId="0" borderId="41" xfId="0" applyBorder="1" applyAlignment="1">
      <alignment horizontal="center" vertical="center"/>
    </xf>
    <xf numFmtId="173" fontId="13" fillId="0" borderId="0" xfId="0" applyNumberFormat="1" applyFont="1" applyAlignment="1">
      <alignment horizontal="center"/>
    </xf>
    <xf numFmtId="173" fontId="13" fillId="0" borderId="0" xfId="0" applyNumberFormat="1" applyFont="1"/>
    <xf numFmtId="173" fontId="13" fillId="0" borderId="27" xfId="0" applyNumberFormat="1" applyFont="1" applyBorder="1"/>
    <xf numFmtId="185" fontId="0" fillId="0" borderId="0" xfId="0" applyNumberFormat="1" applyAlignment="1">
      <alignment horizontal="center"/>
    </xf>
    <xf numFmtId="165" fontId="0" fillId="0" borderId="0" xfId="0" applyNumberFormat="1" applyAlignment="1">
      <alignment horizontal="center"/>
    </xf>
    <xf numFmtId="46" fontId="13" fillId="7" borderId="12" xfId="0" applyNumberFormat="1" applyFont="1" applyFill="1" applyBorder="1" applyAlignment="1" applyProtection="1">
      <alignment horizontal="center" vertical="center"/>
      <protection locked="0"/>
    </xf>
    <xf numFmtId="0" fontId="11" fillId="0" borderId="7" xfId="0" applyFont="1" applyBorder="1" applyAlignment="1">
      <alignment vertical="center"/>
    </xf>
    <xf numFmtId="0" fontId="1" fillId="0" borderId="3" xfId="0" applyFont="1" applyBorder="1" applyAlignment="1">
      <alignment horizontal="left" vertical="center"/>
    </xf>
    <xf numFmtId="0" fontId="11" fillId="0" borderId="3" xfId="0" applyFont="1" applyBorder="1" applyAlignment="1">
      <alignment horizontal="left" vertical="center"/>
    </xf>
    <xf numFmtId="174" fontId="1" fillId="7" borderId="13" xfId="0" applyNumberFormat="1" applyFont="1" applyFill="1" applyBorder="1" applyAlignment="1">
      <alignment vertical="center"/>
    </xf>
    <xf numFmtId="0" fontId="5" fillId="0" borderId="0" xfId="0" applyFont="1"/>
    <xf numFmtId="0" fontId="3" fillId="3" borderId="0" xfId="0" applyFont="1" applyFill="1" applyAlignment="1">
      <alignment horizontal="center"/>
    </xf>
    <xf numFmtId="0" fontId="3" fillId="3" borderId="34" xfId="0" applyFont="1" applyFill="1" applyBorder="1" applyAlignment="1">
      <alignment horizontal="center"/>
    </xf>
    <xf numFmtId="165" fontId="0" fillId="0" borderId="34" xfId="0" applyNumberFormat="1" applyBorder="1" applyAlignment="1">
      <alignment horizontal="center"/>
    </xf>
    <xf numFmtId="0" fontId="3" fillId="0" borderId="0" xfId="0" applyFont="1" applyAlignment="1">
      <alignment horizontal="left"/>
    </xf>
    <xf numFmtId="0" fontId="0" fillId="0" borderId="37" xfId="0" applyBorder="1" applyAlignment="1">
      <alignment horizontal="center" vertical="center"/>
    </xf>
    <xf numFmtId="165" fontId="3" fillId="0" borderId="27" xfId="0" applyNumberFormat="1" applyFont="1" applyBorder="1" applyAlignment="1">
      <alignment horizontal="center" vertical="center"/>
    </xf>
    <xf numFmtId="170" fontId="13" fillId="0" borderId="0" xfId="0" applyNumberFormat="1" applyFont="1"/>
    <xf numFmtId="14" fontId="0" fillId="0" borderId="0" xfId="0" applyNumberFormat="1"/>
    <xf numFmtId="0" fontId="3" fillId="9" borderId="41" xfId="0" applyFont="1" applyFill="1" applyBorder="1" applyAlignment="1">
      <alignment horizontal="center" vertical="center"/>
    </xf>
    <xf numFmtId="0" fontId="0" fillId="9" borderId="41" xfId="0" applyFill="1" applyBorder="1" applyAlignment="1">
      <alignment horizontal="center" vertical="center"/>
    </xf>
    <xf numFmtId="0" fontId="3" fillId="0" borderId="37" xfId="0" applyFont="1" applyBorder="1" applyAlignment="1">
      <alignment horizontal="center" vertical="center"/>
    </xf>
    <xf numFmtId="0" fontId="3" fillId="0" borderId="41" xfId="0" applyFont="1" applyBorder="1" applyAlignment="1">
      <alignment horizontal="center" vertical="center"/>
    </xf>
    <xf numFmtId="0" fontId="3" fillId="9" borderId="43" xfId="0" applyFont="1" applyFill="1" applyBorder="1" applyAlignment="1">
      <alignment horizontal="center" vertical="center"/>
    </xf>
    <xf numFmtId="0" fontId="3" fillId="0" borderId="44" xfId="0" applyFont="1" applyBorder="1" applyAlignment="1">
      <alignment horizontal="center" vertical="center"/>
    </xf>
    <xf numFmtId="0" fontId="0" fillId="0" borderId="43" xfId="0" applyBorder="1" applyAlignment="1">
      <alignment horizontal="center" vertical="center"/>
    </xf>
    <xf numFmtId="0" fontId="3" fillId="0" borderId="0" xfId="0" applyFont="1" applyAlignment="1">
      <alignment horizontal="left" vertical="center"/>
    </xf>
    <xf numFmtId="0" fontId="3" fillId="9" borderId="0" xfId="0" applyFont="1" applyFill="1" applyAlignment="1">
      <alignment horizontal="center" vertical="center"/>
    </xf>
    <xf numFmtId="0" fontId="3" fillId="9" borderId="34" xfId="0" applyFont="1" applyFill="1" applyBorder="1" applyAlignment="1">
      <alignment horizontal="center" vertical="center"/>
    </xf>
    <xf numFmtId="166" fontId="0" fillId="0" borderId="37" xfId="0" applyNumberFormat="1" applyBorder="1" applyAlignment="1">
      <alignment horizontal="center"/>
    </xf>
    <xf numFmtId="0" fontId="3" fillId="0" borderId="32" xfId="0" applyFont="1" applyBorder="1" applyAlignment="1">
      <alignment horizontal="left" vertical="center"/>
    </xf>
    <xf numFmtId="0" fontId="3" fillId="0" borderId="13" xfId="0" applyFont="1" applyBorder="1" applyAlignment="1">
      <alignment horizontal="left" vertical="center"/>
    </xf>
    <xf numFmtId="0" fontId="6" fillId="0" borderId="42" xfId="0" applyFont="1" applyBorder="1"/>
    <xf numFmtId="0" fontId="3" fillId="9" borderId="43" xfId="0" applyFont="1" applyFill="1" applyBorder="1"/>
    <xf numFmtId="0" fontId="1" fillId="9" borderId="43" xfId="0" applyFont="1" applyFill="1" applyBorder="1"/>
    <xf numFmtId="0" fontId="3" fillId="0" borderId="28" xfId="0" applyFont="1" applyBorder="1" applyAlignment="1">
      <alignment horizontal="left" vertical="center"/>
    </xf>
    <xf numFmtId="184" fontId="10" fillId="3" borderId="34" xfId="0" applyNumberFormat="1" applyFont="1" applyFill="1" applyBorder="1" applyAlignment="1">
      <alignment horizontal="center"/>
    </xf>
    <xf numFmtId="184" fontId="10" fillId="0" borderId="34" xfId="0" applyNumberFormat="1" applyFont="1" applyBorder="1" applyAlignment="1">
      <alignment horizontal="center"/>
    </xf>
    <xf numFmtId="184" fontId="0" fillId="0" borderId="34" xfId="0" applyNumberFormat="1" applyBorder="1" applyAlignment="1">
      <alignment horizontal="center"/>
    </xf>
    <xf numFmtId="0" fontId="6" fillId="0" borderId="41" xfId="0" applyFont="1" applyBorder="1" applyAlignment="1">
      <alignment horizontal="center" vertical="center" wrapText="1"/>
    </xf>
    <xf numFmtId="0" fontId="9" fillId="0" borderId="43" xfId="0" applyFont="1" applyBorder="1" applyAlignment="1">
      <alignment horizontal="center" vertical="center" wrapText="1"/>
    </xf>
    <xf numFmtId="0" fontId="6" fillId="0" borderId="0" xfId="0" applyFont="1" applyAlignment="1">
      <alignment horizontal="center" vertical="center"/>
    </xf>
    <xf numFmtId="0" fontId="3" fillId="0" borderId="37" xfId="0" applyFont="1" applyBorder="1" applyAlignment="1">
      <alignment horizontal="center"/>
    </xf>
    <xf numFmtId="0" fontId="6" fillId="0" borderId="32" xfId="0" applyFont="1" applyBorder="1" applyAlignment="1">
      <alignment horizontal="center"/>
    </xf>
    <xf numFmtId="0" fontId="17" fillId="0" borderId="43" xfId="0" applyFont="1" applyBorder="1" applyAlignment="1">
      <alignment wrapText="1"/>
    </xf>
    <xf numFmtId="0" fontId="17" fillId="9" borderId="43" xfId="0" applyFont="1" applyFill="1" applyBorder="1" applyAlignment="1">
      <alignment wrapText="1"/>
    </xf>
    <xf numFmtId="0" fontId="17" fillId="9" borderId="43" xfId="0" applyFont="1" applyFill="1" applyBorder="1"/>
    <xf numFmtId="0" fontId="3" fillId="0" borderId="42" xfId="0" applyFont="1" applyBorder="1"/>
    <xf numFmtId="180" fontId="1" fillId="0" borderId="45" xfId="0" applyNumberFormat="1" applyFont="1" applyBorder="1" applyAlignment="1" applyProtection="1">
      <alignment horizontal="center" vertical="center" wrapText="1"/>
      <protection hidden="1"/>
    </xf>
    <xf numFmtId="0" fontId="3" fillId="9" borderId="41" xfId="0" applyFont="1" applyFill="1" applyBorder="1" applyAlignment="1">
      <alignment horizontal="center"/>
    </xf>
    <xf numFmtId="0" fontId="3" fillId="9" borderId="44" xfId="0" applyFont="1" applyFill="1" applyBorder="1"/>
    <xf numFmtId="181" fontId="3" fillId="9" borderId="0" xfId="0" applyNumberFormat="1" applyFont="1" applyFill="1" applyAlignment="1">
      <alignment horizontal="center"/>
    </xf>
    <xf numFmtId="181" fontId="3" fillId="0" borderId="0" xfId="0" applyNumberFormat="1" applyFont="1" applyAlignment="1">
      <alignment horizontal="center"/>
    </xf>
    <xf numFmtId="181" fontId="3" fillId="0" borderId="27" xfId="0" applyNumberFormat="1" applyFont="1" applyBorder="1" applyAlignment="1">
      <alignment horizontal="center"/>
    </xf>
    <xf numFmtId="0" fontId="17" fillId="0" borderId="41" xfId="0" applyFont="1" applyBorder="1" applyAlignment="1">
      <alignment horizontal="center" wrapText="1"/>
    </xf>
    <xf numFmtId="0" fontId="17" fillId="0" borderId="37" xfId="0" applyFont="1" applyBorder="1" applyAlignment="1">
      <alignment horizontal="center" wrapText="1"/>
    </xf>
    <xf numFmtId="0" fontId="3" fillId="9" borderId="43" xfId="0" applyFont="1" applyFill="1" applyBorder="1" applyAlignment="1">
      <alignment horizontal="center"/>
    </xf>
    <xf numFmtId="181" fontId="3" fillId="0" borderId="41" xfId="0" applyNumberFormat="1" applyFont="1" applyBorder="1" applyAlignment="1">
      <alignment horizontal="center" shrinkToFit="1"/>
    </xf>
    <xf numFmtId="181" fontId="3" fillId="9" borderId="41" xfId="0" applyNumberFormat="1" applyFont="1" applyFill="1" applyBorder="1" applyAlignment="1">
      <alignment horizontal="center" shrinkToFit="1"/>
    </xf>
    <xf numFmtId="167" fontId="0" fillId="0" borderId="41" xfId="0" applyNumberFormat="1" applyBorder="1" applyAlignment="1">
      <alignment horizontal="center" shrinkToFit="1"/>
    </xf>
    <xf numFmtId="0" fontId="0" fillId="0" borderId="37" xfId="0" applyBorder="1" applyAlignment="1">
      <alignment shrinkToFit="1"/>
    </xf>
    <xf numFmtId="0" fontId="17" fillId="0" borderId="43" xfId="0" applyFont="1" applyBorder="1"/>
    <xf numFmtId="0" fontId="13" fillId="10" borderId="45" xfId="0" applyFont="1" applyFill="1" applyBorder="1" applyAlignment="1">
      <alignment horizontal="left" vertical="center" shrinkToFit="1"/>
    </xf>
    <xf numFmtId="0" fontId="13" fillId="10" borderId="47" xfId="0" applyFont="1" applyFill="1" applyBorder="1" applyAlignment="1">
      <alignment horizontal="left" vertical="center" shrinkToFit="1"/>
    </xf>
    <xf numFmtId="180" fontId="13" fillId="10" borderId="47" xfId="0" applyNumberFormat="1" applyFont="1" applyFill="1" applyBorder="1" applyAlignment="1">
      <alignment horizontal="center" vertical="center"/>
    </xf>
    <xf numFmtId="0" fontId="6" fillId="10" borderId="47" xfId="0" applyFont="1" applyFill="1" applyBorder="1" applyAlignment="1">
      <alignment horizontal="center" vertical="center"/>
    </xf>
    <xf numFmtId="0" fontId="11" fillId="0" borderId="38" xfId="0" applyFont="1" applyBorder="1" applyAlignment="1">
      <alignment vertical="center"/>
    </xf>
    <xf numFmtId="0" fontId="3" fillId="9" borderId="41" xfId="0" applyFont="1" applyFill="1" applyBorder="1"/>
    <xf numFmtId="0" fontId="3" fillId="0" borderId="34" xfId="0" applyFont="1" applyBorder="1"/>
    <xf numFmtId="0" fontId="3" fillId="0" borderId="28" xfId="0" applyFont="1" applyBorder="1"/>
    <xf numFmtId="0" fontId="14" fillId="0" borderId="57" xfId="0" applyFont="1" applyBorder="1" applyAlignment="1">
      <alignment vertical="center" wrapText="1" shrinkToFit="1"/>
    </xf>
    <xf numFmtId="0" fontId="3" fillId="0" borderId="43" xfId="0" applyFont="1" applyBorder="1" applyAlignment="1">
      <alignment vertical="center"/>
    </xf>
    <xf numFmtId="0" fontId="8" fillId="0" borderId="32" xfId="0" applyFont="1" applyBorder="1" applyAlignment="1">
      <alignment vertical="center" wrapText="1" shrinkToFit="1"/>
    </xf>
    <xf numFmtId="0" fontId="0" fillId="9" borderId="43" xfId="0" applyFill="1" applyBorder="1"/>
    <xf numFmtId="0" fontId="3" fillId="9" borderId="42" xfId="0" applyFont="1" applyFill="1" applyBorder="1"/>
    <xf numFmtId="0" fontId="3" fillId="0" borderId="11" xfId="0" applyFont="1" applyBorder="1" applyAlignment="1">
      <alignment horizontal="center" vertical="center"/>
    </xf>
    <xf numFmtId="0" fontId="8" fillId="0" borderId="45" xfId="0" applyFont="1" applyBorder="1" applyAlignment="1">
      <alignment vertical="center" wrapText="1" shrinkToFit="1"/>
    </xf>
    <xf numFmtId="0" fontId="8" fillId="10" borderId="32" xfId="0" applyFont="1" applyFill="1" applyBorder="1" applyAlignment="1">
      <alignment horizontal="left" vertical="center" shrinkToFit="1"/>
    </xf>
    <xf numFmtId="170" fontId="3" fillId="2" borderId="45" xfId="0" applyNumberFormat="1" applyFont="1" applyFill="1" applyBorder="1" applyAlignment="1" applyProtection="1">
      <alignment vertical="center"/>
      <protection locked="0"/>
    </xf>
    <xf numFmtId="0" fontId="8" fillId="0" borderId="42" xfId="0" applyFont="1" applyBorder="1" applyAlignment="1">
      <alignment vertical="center" wrapText="1" shrinkToFit="1"/>
    </xf>
    <xf numFmtId="165" fontId="10" fillId="0" borderId="27" xfId="0" applyNumberFormat="1" applyFont="1" applyBorder="1" applyAlignment="1">
      <alignment vertical="center"/>
    </xf>
    <xf numFmtId="0" fontId="3" fillId="0" borderId="44" xfId="0" applyFont="1" applyBorder="1"/>
    <xf numFmtId="0" fontId="16" fillId="0" borderId="65" xfId="0" applyFont="1" applyBorder="1" applyAlignment="1">
      <alignment horizontal="center"/>
    </xf>
    <xf numFmtId="168" fontId="0" fillId="3" borderId="0" xfId="0" applyNumberFormat="1" applyFill="1" applyAlignment="1">
      <alignment horizontal="center" vertical="center"/>
    </xf>
    <xf numFmtId="0" fontId="16" fillId="0" borderId="64" xfId="0" applyFont="1" applyBorder="1" applyAlignment="1">
      <alignment horizontal="center"/>
    </xf>
    <xf numFmtId="0" fontId="8" fillId="0" borderId="32" xfId="0" applyFont="1" applyBorder="1" applyAlignment="1">
      <alignment horizontal="center" vertical="center" wrapText="1" shrinkToFit="1"/>
    </xf>
    <xf numFmtId="0" fontId="3" fillId="4" borderId="44" xfId="0" applyFont="1" applyFill="1" applyBorder="1" applyAlignment="1">
      <alignment vertical="center"/>
    </xf>
    <xf numFmtId="0" fontId="11" fillId="0" borderId="2" xfId="0" applyFont="1" applyBorder="1" applyAlignment="1">
      <alignment horizontal="left" vertical="center"/>
    </xf>
    <xf numFmtId="180" fontId="8" fillId="0" borderId="20" xfId="0" applyNumberFormat="1" applyFont="1" applyBorder="1" applyAlignment="1">
      <alignment vertical="center"/>
    </xf>
    <xf numFmtId="170" fontId="6" fillId="4" borderId="45" xfId="0" applyNumberFormat="1" applyFont="1" applyFill="1" applyBorder="1" applyAlignment="1">
      <alignment horizontal="center" vertical="center"/>
    </xf>
    <xf numFmtId="170" fontId="6" fillId="4" borderId="57" xfId="0" applyNumberFormat="1" applyFont="1" applyFill="1" applyBorder="1" applyAlignment="1">
      <alignment horizontal="center" vertical="center"/>
    </xf>
    <xf numFmtId="0" fontId="13" fillId="4" borderId="57" xfId="0" applyFont="1" applyFill="1" applyBorder="1" applyAlignment="1">
      <alignment horizontal="center" vertical="center"/>
    </xf>
    <xf numFmtId="180" fontId="13" fillId="2" borderId="32" xfId="0" applyNumberFormat="1" applyFont="1" applyFill="1" applyBorder="1" applyAlignment="1" applyProtection="1">
      <alignment vertical="center"/>
      <protection locked="0"/>
    </xf>
    <xf numFmtId="0" fontId="13" fillId="2" borderId="57" xfId="0" applyFont="1" applyFill="1" applyBorder="1" applyAlignment="1" applyProtection="1">
      <alignment vertical="center"/>
      <protection locked="0"/>
    </xf>
    <xf numFmtId="180" fontId="13" fillId="4" borderId="57" xfId="0" applyNumberFormat="1" applyFont="1" applyFill="1" applyBorder="1" applyAlignment="1">
      <alignment vertical="center"/>
    </xf>
    <xf numFmtId="0" fontId="6" fillId="0" borderId="32" xfId="0" applyFont="1" applyBorder="1"/>
    <xf numFmtId="0" fontId="0" fillId="9" borderId="37" xfId="0" applyFill="1" applyBorder="1"/>
    <xf numFmtId="0" fontId="3" fillId="9" borderId="0" xfId="0" applyFont="1" applyFill="1"/>
    <xf numFmtId="0" fontId="3" fillId="7" borderId="13" xfId="0" applyFont="1" applyFill="1" applyBorder="1"/>
    <xf numFmtId="0" fontId="3" fillId="7" borderId="0" xfId="0" applyFont="1" applyFill="1"/>
    <xf numFmtId="0" fontId="3" fillId="7" borderId="32" xfId="0" applyFont="1" applyFill="1" applyBorder="1"/>
    <xf numFmtId="0" fontId="3" fillId="7" borderId="41" xfId="0" applyFont="1" applyFill="1" applyBorder="1"/>
    <xf numFmtId="0" fontId="3" fillId="7" borderId="37" xfId="0" applyFont="1" applyFill="1" applyBorder="1"/>
    <xf numFmtId="0" fontId="10" fillId="0" borderId="43" xfId="0" applyFont="1" applyBorder="1" applyAlignment="1">
      <alignment horizontal="center" vertical="center"/>
    </xf>
    <xf numFmtId="0" fontId="0" fillId="0" borderId="43" xfId="0" applyBorder="1" applyAlignment="1">
      <alignment horizontal="center"/>
    </xf>
    <xf numFmtId="0" fontId="10" fillId="0" borderId="41" xfId="0" applyFont="1" applyBorder="1" applyAlignment="1">
      <alignment horizontal="center"/>
    </xf>
    <xf numFmtId="0" fontId="9" fillId="0" borderId="5" xfId="0" applyFont="1" applyBorder="1" applyAlignment="1">
      <alignment horizontal="center" vertical="center"/>
    </xf>
    <xf numFmtId="0" fontId="6" fillId="0" borderId="5" xfId="0" applyFont="1" applyBorder="1" applyAlignment="1">
      <alignment horizontal="center" vertical="center"/>
    </xf>
    <xf numFmtId="0" fontId="8" fillId="0" borderId="5" xfId="0" applyFont="1" applyBorder="1" applyAlignment="1">
      <alignment horizontal="center" vertical="center"/>
    </xf>
    <xf numFmtId="174" fontId="3" fillId="10" borderId="37" xfId="0" applyNumberFormat="1" applyFont="1" applyFill="1" applyBorder="1" applyAlignment="1">
      <alignment horizontal="left" vertical="top" wrapText="1"/>
    </xf>
    <xf numFmtId="174" fontId="3" fillId="10" borderId="27" xfId="0" applyNumberFormat="1" applyFont="1" applyFill="1" applyBorder="1" applyAlignment="1">
      <alignment horizontal="left" vertical="top" wrapText="1"/>
    </xf>
    <xf numFmtId="0" fontId="11" fillId="7" borderId="3" xfId="0" applyFont="1" applyFill="1" applyBorder="1" applyAlignment="1">
      <alignment horizontal="left" vertical="center"/>
    </xf>
    <xf numFmtId="0" fontId="13" fillId="7" borderId="3" xfId="0" applyFont="1" applyFill="1" applyBorder="1" applyAlignment="1" applyProtection="1">
      <alignment horizontal="center" vertical="center"/>
      <protection locked="0"/>
    </xf>
    <xf numFmtId="0" fontId="21" fillId="7" borderId="3" xfId="0" applyFont="1" applyFill="1" applyBorder="1" applyAlignment="1" applyProtection="1">
      <alignment horizontal="center" vertical="center"/>
      <protection locked="0"/>
    </xf>
    <xf numFmtId="0" fontId="13" fillId="0" borderId="48" xfId="0" applyFont="1" applyBorder="1" applyAlignment="1" applyProtection="1">
      <alignment horizontal="center" vertical="center"/>
      <protection locked="0"/>
    </xf>
    <xf numFmtId="0" fontId="6" fillId="10" borderId="13" xfId="0" applyFont="1" applyFill="1" applyBorder="1" applyAlignment="1">
      <alignment horizontal="left" vertical="center" shrinkToFit="1"/>
    </xf>
    <xf numFmtId="181" fontId="13" fillId="10" borderId="27" xfId="0" applyNumberFormat="1" applyFont="1" applyFill="1" applyBorder="1" applyAlignment="1">
      <alignment horizontal="center" vertical="center"/>
    </xf>
    <xf numFmtId="0" fontId="13" fillId="10" borderId="27" xfId="0" applyFont="1" applyFill="1" applyBorder="1" applyAlignment="1">
      <alignment horizontal="center" vertical="center"/>
    </xf>
    <xf numFmtId="0" fontId="3" fillId="10" borderId="45" xfId="0" applyFont="1" applyFill="1" applyBorder="1" applyAlignment="1">
      <alignment horizontal="center" vertical="center"/>
    </xf>
    <xf numFmtId="0" fontId="3" fillId="10" borderId="47" xfId="0" applyFont="1" applyFill="1" applyBorder="1" applyAlignment="1">
      <alignment horizontal="center" vertical="center"/>
    </xf>
    <xf numFmtId="180" fontId="3" fillId="0" borderId="45" xfId="0" applyNumberFormat="1" applyFont="1" applyBorder="1" applyAlignment="1" applyProtection="1">
      <alignment vertical="center"/>
      <protection hidden="1"/>
    </xf>
    <xf numFmtId="0" fontId="7" fillId="7" borderId="0" xfId="0" applyFont="1" applyFill="1"/>
    <xf numFmtId="0" fontId="11" fillId="7" borderId="0" xfId="0" applyFont="1" applyFill="1"/>
    <xf numFmtId="0" fontId="13" fillId="7" borderId="0" xfId="0" applyFont="1" applyFill="1"/>
    <xf numFmtId="0" fontId="1" fillId="7" borderId="0" xfId="0" applyFont="1" applyFill="1"/>
    <xf numFmtId="0" fontId="3" fillId="7" borderId="0" xfId="0" applyFont="1" applyFill="1" applyAlignment="1">
      <alignment vertical="center"/>
    </xf>
    <xf numFmtId="0" fontId="2" fillId="7" borderId="0" xfId="0" applyFont="1" applyFill="1" applyAlignment="1">
      <alignment horizontal="left" vertical="center"/>
    </xf>
    <xf numFmtId="0" fontId="2" fillId="7" borderId="0" xfId="0" applyFont="1" applyFill="1" applyAlignment="1">
      <alignment horizontal="center" vertical="center"/>
    </xf>
    <xf numFmtId="0" fontId="2" fillId="7" borderId="0" xfId="0" applyFont="1" applyFill="1" applyAlignment="1">
      <alignment vertical="center"/>
    </xf>
    <xf numFmtId="180" fontId="0" fillId="0" borderId="45" xfId="0" applyNumberFormat="1" applyBorder="1" applyAlignment="1" applyProtection="1">
      <alignment horizontal="center" vertical="center"/>
      <protection hidden="1"/>
    </xf>
    <xf numFmtId="165" fontId="3" fillId="0" borderId="44" xfId="0" applyNumberFormat="1" applyFont="1" applyBorder="1" applyAlignment="1">
      <alignment horizontal="center"/>
    </xf>
    <xf numFmtId="0" fontId="6" fillId="7" borderId="41" xfId="0" applyFont="1" applyFill="1" applyBorder="1"/>
    <xf numFmtId="0" fontId="0" fillId="0" borderId="42" xfId="0" applyBorder="1"/>
    <xf numFmtId="0" fontId="22" fillId="0" borderId="32" xfId="0" applyFont="1" applyBorder="1" applyAlignment="1">
      <alignment vertical="center" wrapText="1" shrinkToFit="1"/>
    </xf>
    <xf numFmtId="0" fontId="17" fillId="0" borderId="44" xfId="0" applyFont="1" applyBorder="1" applyAlignment="1">
      <alignment wrapText="1"/>
    </xf>
    <xf numFmtId="0" fontId="13" fillId="0" borderId="3" xfId="0" applyFont="1" applyBorder="1" applyAlignment="1" applyProtection="1">
      <alignment horizontal="center" vertical="center"/>
      <protection locked="0"/>
    </xf>
    <xf numFmtId="0" fontId="1" fillId="0" borderId="19" xfId="0" applyFont="1" applyBorder="1" applyAlignment="1">
      <alignment horizontal="left" vertical="center"/>
    </xf>
    <xf numFmtId="0" fontId="13" fillId="0" borderId="8" xfId="0" applyFont="1" applyBorder="1"/>
    <xf numFmtId="0" fontId="0" fillId="0" borderId="8" xfId="0" applyBorder="1"/>
    <xf numFmtId="14" fontId="13" fillId="0" borderId="0" xfId="0" applyNumberFormat="1" applyFont="1" applyAlignment="1">
      <alignment horizontal="center"/>
    </xf>
    <xf numFmtId="0" fontId="13" fillId="0" borderId="8" xfId="0" applyFont="1" applyBorder="1" applyAlignment="1">
      <alignment horizontal="center"/>
    </xf>
    <xf numFmtId="0" fontId="13" fillId="0" borderId="11" xfId="0" applyFont="1" applyBorder="1"/>
    <xf numFmtId="0" fontId="0" fillId="0" borderId="16" xfId="0" applyBorder="1"/>
    <xf numFmtId="0" fontId="13" fillId="0" borderId="11" xfId="0" applyFont="1" applyBorder="1" applyAlignment="1">
      <alignment horizontal="center"/>
    </xf>
    <xf numFmtId="0" fontId="0" fillId="0" borderId="11" xfId="0" applyBorder="1"/>
    <xf numFmtId="2" fontId="13" fillId="7" borderId="3" xfId="0" applyNumberFormat="1" applyFont="1" applyFill="1" applyBorder="1" applyAlignment="1" applyProtection="1">
      <alignment horizontal="center" vertical="center"/>
      <protection locked="0"/>
    </xf>
    <xf numFmtId="2" fontId="13" fillId="7" borderId="1" xfId="0" applyNumberFormat="1" applyFont="1" applyFill="1" applyBorder="1" applyAlignment="1" applyProtection="1">
      <alignment horizontal="center" vertical="center"/>
      <protection locked="0"/>
    </xf>
    <xf numFmtId="0" fontId="13" fillId="0" borderId="5" xfId="0" applyFont="1" applyBorder="1" applyAlignment="1">
      <alignment horizontal="left"/>
    </xf>
    <xf numFmtId="0" fontId="1" fillId="0" borderId="7" xfId="0" applyFont="1" applyBorder="1" applyAlignment="1">
      <alignment horizontal="right"/>
    </xf>
    <xf numFmtId="0" fontId="13" fillId="0" borderId="0" xfId="0" applyFont="1" applyAlignment="1">
      <alignment horizontal="left"/>
    </xf>
    <xf numFmtId="0" fontId="13" fillId="0" borderId="16" xfId="0" applyFont="1" applyBorder="1" applyAlignment="1">
      <alignment horizontal="left"/>
    </xf>
    <xf numFmtId="0" fontId="13" fillId="0" borderId="8" xfId="0" applyFont="1" applyBorder="1" applyAlignment="1">
      <alignment horizontal="left"/>
    </xf>
    <xf numFmtId="0" fontId="13" fillId="0" borderId="11" xfId="0" applyFont="1" applyBorder="1" applyAlignment="1">
      <alignment horizontal="left"/>
    </xf>
    <xf numFmtId="0" fontId="3" fillId="9" borderId="34" xfId="0" applyFont="1" applyFill="1" applyBorder="1" applyAlignment="1">
      <alignment horizontal="center"/>
    </xf>
    <xf numFmtId="0" fontId="0" fillId="9" borderId="34" xfId="0" applyFill="1" applyBorder="1" applyAlignment="1">
      <alignment horizontal="center"/>
    </xf>
    <xf numFmtId="0" fontId="34" fillId="0" borderId="43" xfId="0" applyFont="1" applyBorder="1"/>
    <xf numFmtId="0" fontId="34" fillId="0" borderId="43" xfId="0" applyFont="1" applyBorder="1" applyAlignment="1">
      <alignment horizontal="center"/>
    </xf>
    <xf numFmtId="0" fontId="34" fillId="9" borderId="43" xfId="0" applyFont="1" applyFill="1" applyBorder="1" applyAlignment="1">
      <alignment horizontal="center"/>
    </xf>
    <xf numFmtId="0" fontId="3" fillId="0" borderId="5" xfId="0" applyFont="1" applyBorder="1"/>
    <xf numFmtId="0" fontId="13" fillId="0" borderId="5" xfId="0" applyFont="1" applyBorder="1"/>
    <xf numFmtId="0" fontId="16" fillId="11" borderId="0" xfId="0" applyFont="1" applyFill="1" applyAlignment="1">
      <alignment horizontal="center"/>
    </xf>
    <xf numFmtId="0" fontId="16" fillId="11" borderId="65" xfId="0" applyFont="1" applyFill="1" applyBorder="1" applyAlignment="1">
      <alignment horizontal="center"/>
    </xf>
    <xf numFmtId="0" fontId="3" fillId="9" borderId="28" xfId="0" applyFont="1" applyFill="1" applyBorder="1" applyAlignment="1">
      <alignment horizontal="center"/>
    </xf>
    <xf numFmtId="0" fontId="16" fillId="0" borderId="70" xfId="0" applyFont="1" applyBorder="1" applyAlignment="1">
      <alignment horizontal="center"/>
    </xf>
    <xf numFmtId="14" fontId="13" fillId="0" borderId="4" xfId="0" applyNumberFormat="1" applyFont="1" applyBorder="1" applyAlignment="1" applyProtection="1">
      <alignment vertical="center" wrapText="1"/>
      <protection locked="0"/>
    </xf>
    <xf numFmtId="14" fontId="13" fillId="0" borderId="25" xfId="0" applyNumberFormat="1" applyFont="1" applyBorder="1" applyAlignment="1" applyProtection="1">
      <alignment vertical="center" wrapText="1"/>
      <protection locked="0"/>
    </xf>
    <xf numFmtId="0" fontId="22" fillId="4" borderId="57" xfId="0" applyFont="1" applyFill="1" applyBorder="1" applyAlignment="1">
      <alignment vertical="center" wrapText="1"/>
    </xf>
    <xf numFmtId="49" fontId="0" fillId="0" borderId="5" xfId="0" applyNumberFormat="1" applyBorder="1"/>
    <xf numFmtId="49" fontId="3" fillId="0" borderId="5" xfId="0" applyNumberFormat="1" applyFont="1" applyBorder="1"/>
    <xf numFmtId="49" fontId="13" fillId="0" borderId="12" xfId="0" applyNumberFormat="1" applyFont="1" applyBorder="1" applyAlignment="1" applyProtection="1">
      <alignment horizontal="center" vertical="center"/>
      <protection locked="0"/>
    </xf>
    <xf numFmtId="0" fontId="8" fillId="0" borderId="41" xfId="0" applyFont="1" applyBorder="1" applyAlignment="1">
      <alignment horizontal="center" vertical="center" wrapText="1" shrinkToFit="1"/>
    </xf>
    <xf numFmtId="0" fontId="17" fillId="0" borderId="42" xfId="0" applyFont="1" applyBorder="1" applyAlignment="1">
      <alignment wrapText="1"/>
    </xf>
    <xf numFmtId="0" fontId="3" fillId="0" borderId="42" xfId="0" applyFont="1" applyBorder="1" applyAlignment="1">
      <alignment horizontal="left" vertical="center" wrapText="1"/>
    </xf>
    <xf numFmtId="0" fontId="3" fillId="0" borderId="43" xfId="0" applyFont="1" applyBorder="1" applyAlignment="1">
      <alignment horizontal="left" vertical="center" wrapText="1"/>
    </xf>
    <xf numFmtId="0" fontId="3" fillId="0" borderId="45" xfId="0" applyFont="1" applyBorder="1"/>
    <xf numFmtId="0" fontId="3" fillId="0" borderId="46" xfId="0" applyFont="1" applyBorder="1"/>
    <xf numFmtId="0" fontId="13" fillId="7" borderId="5" xfId="0" applyFont="1" applyFill="1" applyBorder="1"/>
    <xf numFmtId="0" fontId="3" fillId="0" borderId="12" xfId="0" applyFont="1" applyBorder="1"/>
    <xf numFmtId="188" fontId="0" fillId="0" borderId="12" xfId="0" applyNumberFormat="1" applyBorder="1"/>
    <xf numFmtId="0" fontId="3" fillId="0" borderId="57" xfId="0" applyFont="1" applyBorder="1"/>
    <xf numFmtId="0" fontId="3" fillId="0" borderId="13" xfId="0" applyFont="1" applyBorder="1" applyAlignment="1">
      <alignment horizontal="center"/>
    </xf>
    <xf numFmtId="175" fontId="3" fillId="0" borderId="34" xfId="0" applyNumberFormat="1" applyFont="1" applyBorder="1" applyAlignment="1">
      <alignment horizontal="center"/>
    </xf>
    <xf numFmtId="182" fontId="3" fillId="0" borderId="34" xfId="0" applyNumberFormat="1" applyFont="1" applyBorder="1" applyAlignment="1">
      <alignment horizontal="center"/>
    </xf>
    <xf numFmtId="0" fontId="6" fillId="0" borderId="41" xfId="0" applyFont="1" applyBorder="1" applyAlignment="1">
      <alignment horizontal="center" vertical="center"/>
    </xf>
    <xf numFmtId="14" fontId="3" fillId="0" borderId="5" xfId="0" applyNumberFormat="1" applyFont="1" applyBorder="1"/>
    <xf numFmtId="0" fontId="1" fillId="0" borderId="21" xfId="0" applyFont="1" applyBorder="1" applyAlignment="1">
      <alignment vertical="center"/>
    </xf>
    <xf numFmtId="14" fontId="13" fillId="0" borderId="57" xfId="0" applyNumberFormat="1" applyFont="1" applyBorder="1" applyAlignment="1" applyProtection="1">
      <alignment vertical="center" wrapText="1"/>
      <protection locked="0"/>
    </xf>
    <xf numFmtId="0" fontId="13" fillId="10" borderId="47" xfId="0" applyFont="1" applyFill="1" applyBorder="1" applyAlignment="1">
      <alignment vertical="center" wrapText="1"/>
    </xf>
    <xf numFmtId="0" fontId="1" fillId="0" borderId="39" xfId="0" applyFont="1" applyBorder="1" applyAlignment="1">
      <alignment vertical="center"/>
    </xf>
    <xf numFmtId="0" fontId="13" fillId="2" borderId="45" xfId="0" applyFont="1" applyFill="1" applyBorder="1" applyAlignment="1" applyProtection="1">
      <alignment vertical="center"/>
      <protection locked="0"/>
    </xf>
    <xf numFmtId="174" fontId="11" fillId="7" borderId="13" xfId="0" applyNumberFormat="1" applyFont="1" applyFill="1" applyBorder="1" applyAlignment="1">
      <alignment vertical="center"/>
    </xf>
    <xf numFmtId="178" fontId="10" fillId="5" borderId="16" xfId="0" applyNumberFormat="1" applyFont="1" applyFill="1" applyBorder="1" applyAlignment="1" applyProtection="1">
      <alignment horizontal="center" vertical="center"/>
      <protection locked="0"/>
    </xf>
    <xf numFmtId="178" fontId="13" fillId="5" borderId="9" xfId="0" applyNumberFormat="1" applyFont="1" applyFill="1" applyBorder="1" applyAlignment="1" applyProtection="1">
      <alignment horizontal="center" vertical="center"/>
      <protection locked="0"/>
    </xf>
    <xf numFmtId="178" fontId="13" fillId="5" borderId="16" xfId="0" applyNumberFormat="1" applyFont="1" applyFill="1" applyBorder="1" applyAlignment="1" applyProtection="1">
      <alignment horizontal="center" vertical="center"/>
      <protection locked="0"/>
    </xf>
    <xf numFmtId="0" fontId="10" fillId="5" borderId="16" xfId="0" applyFont="1" applyFill="1" applyBorder="1" applyAlignment="1" applyProtection="1">
      <alignment horizontal="center" vertical="center"/>
      <protection locked="0"/>
    </xf>
    <xf numFmtId="0" fontId="27" fillId="4" borderId="45" xfId="0" applyFont="1" applyFill="1" applyBorder="1" applyAlignment="1">
      <alignment vertical="center" wrapText="1"/>
    </xf>
    <xf numFmtId="0" fontId="0" fillId="0" borderId="45" xfId="0" applyBorder="1" applyAlignment="1">
      <alignment vertical="center"/>
    </xf>
    <xf numFmtId="180" fontId="8" fillId="4" borderId="45" xfId="0" applyNumberFormat="1" applyFont="1" applyFill="1" applyBorder="1" applyAlignment="1" applyProtection="1">
      <alignment vertical="center"/>
      <protection locked="0"/>
    </xf>
    <xf numFmtId="184" fontId="13" fillId="2" borderId="45" xfId="0" applyNumberFormat="1" applyFont="1" applyFill="1" applyBorder="1" applyAlignment="1" applyProtection="1">
      <alignment vertical="center"/>
      <protection locked="0"/>
    </xf>
    <xf numFmtId="180" fontId="8" fillId="4" borderId="45" xfId="0" applyNumberFormat="1" applyFont="1" applyFill="1" applyBorder="1" applyAlignment="1">
      <alignment vertical="center" shrinkToFit="1"/>
    </xf>
    <xf numFmtId="0" fontId="35" fillId="4" borderId="46" xfId="0" applyFont="1" applyFill="1" applyBorder="1"/>
    <xf numFmtId="0" fontId="3" fillId="7" borderId="46" xfId="0" applyFont="1" applyFill="1" applyBorder="1"/>
    <xf numFmtId="0" fontId="24" fillId="4" borderId="46" xfId="0" applyFont="1" applyFill="1" applyBorder="1" applyAlignment="1">
      <alignment horizontal="center"/>
    </xf>
    <xf numFmtId="0" fontId="24" fillId="0" borderId="46" xfId="0" applyFont="1" applyBorder="1" applyAlignment="1" applyProtection="1">
      <alignment horizontal="center"/>
      <protection locked="0"/>
    </xf>
    <xf numFmtId="0" fontId="24" fillId="4" borderId="29" xfId="0" applyFont="1" applyFill="1" applyBorder="1" applyAlignment="1" applyProtection="1">
      <alignment horizontal="center"/>
      <protection locked="0"/>
    </xf>
    <xf numFmtId="0" fontId="13" fillId="0" borderId="5" xfId="0" applyFont="1" applyBorder="1" applyAlignment="1">
      <alignment horizontal="center"/>
    </xf>
    <xf numFmtId="174" fontId="6" fillId="4" borderId="57" xfId="0" applyNumberFormat="1" applyFont="1" applyFill="1" applyBorder="1" applyAlignment="1">
      <alignment horizontal="center" vertical="center" wrapText="1"/>
    </xf>
    <xf numFmtId="180" fontId="39" fillId="0" borderId="45" xfId="0" applyNumberFormat="1" applyFont="1" applyBorder="1" applyAlignment="1" applyProtection="1">
      <alignment horizontal="center" vertical="center"/>
      <protection hidden="1"/>
    </xf>
    <xf numFmtId="14" fontId="0" fillId="0" borderId="5" xfId="0" applyNumberFormat="1" applyBorder="1"/>
    <xf numFmtId="0" fontId="7" fillId="0" borderId="5" xfId="0" applyFont="1" applyBorder="1" applyProtection="1">
      <protection locked="0"/>
    </xf>
    <xf numFmtId="0" fontId="4" fillId="0" borderId="5" xfId="0" applyFont="1" applyBorder="1" applyProtection="1">
      <protection locked="0"/>
    </xf>
    <xf numFmtId="0" fontId="5" fillId="0" borderId="5" xfId="0" applyFont="1" applyBorder="1" applyProtection="1">
      <protection locked="0"/>
    </xf>
    <xf numFmtId="0" fontId="13" fillId="0" borderId="5" xfId="0" applyFont="1" applyBorder="1" applyProtection="1">
      <protection locked="0"/>
    </xf>
    <xf numFmtId="0" fontId="3" fillId="0" borderId="5" xfId="0" applyFont="1" applyBorder="1" applyProtection="1">
      <protection locked="0"/>
    </xf>
    <xf numFmtId="170" fontId="13" fillId="0" borderId="5" xfId="0" applyNumberFormat="1" applyFont="1" applyBorder="1" applyProtection="1">
      <protection locked="0"/>
    </xf>
    <xf numFmtId="0" fontId="11" fillId="0" borderId="5" xfId="0" applyFont="1" applyBorder="1" applyProtection="1">
      <protection locked="0"/>
    </xf>
    <xf numFmtId="0" fontId="1" fillId="0" borderId="5" xfId="0" applyFont="1" applyBorder="1" applyProtection="1">
      <protection locked="0"/>
    </xf>
    <xf numFmtId="0" fontId="0" fillId="0" borderId="11" xfId="0" applyBorder="1" applyAlignment="1">
      <alignment horizontal="center"/>
    </xf>
    <xf numFmtId="0" fontId="0" fillId="0" borderId="8" xfId="0" applyBorder="1" applyAlignment="1">
      <alignment horizontal="center"/>
    </xf>
    <xf numFmtId="0" fontId="6" fillId="0" borderId="0" xfId="0" applyFont="1"/>
    <xf numFmtId="0" fontId="8" fillId="0" borderId="0" xfId="0" applyFont="1" applyAlignment="1">
      <alignment horizontal="left"/>
    </xf>
    <xf numFmtId="0" fontId="8" fillId="0" borderId="0" xfId="0" applyFont="1" applyAlignment="1">
      <alignment horizontal="center"/>
    </xf>
    <xf numFmtId="0" fontId="8" fillId="0" borderId="0" xfId="0" applyFont="1"/>
    <xf numFmtId="0" fontId="13" fillId="0" borderId="0" xfId="0" applyFont="1" applyAlignment="1">
      <alignment horizontal="left" vertical="top"/>
    </xf>
    <xf numFmtId="0" fontId="0" fillId="3" borderId="0" xfId="0" applyFill="1"/>
    <xf numFmtId="10" fontId="13" fillId="0" borderId="0" xfId="0" applyNumberFormat="1" applyFont="1" applyAlignment="1">
      <alignment horizontal="left"/>
    </xf>
    <xf numFmtId="0" fontId="32" fillId="0" borderId="0" xfId="0" applyFont="1"/>
    <xf numFmtId="49" fontId="3" fillId="0" borderId="11" xfId="0" applyNumberFormat="1" applyFont="1" applyBorder="1" applyAlignment="1">
      <alignment horizontal="center"/>
    </xf>
    <xf numFmtId="49" fontId="3" fillId="0" borderId="0" xfId="0" applyNumberFormat="1" applyFont="1" applyAlignment="1">
      <alignment horizontal="left"/>
    </xf>
    <xf numFmtId="0" fontId="13" fillId="0" borderId="11" xfId="0" applyFont="1" applyBorder="1" applyAlignment="1">
      <alignment wrapText="1"/>
    </xf>
    <xf numFmtId="167" fontId="13" fillId="0" borderId="0" xfId="0" applyNumberFormat="1" applyFont="1"/>
    <xf numFmtId="1" fontId="13" fillId="0" borderId="0" xfId="0" applyNumberFormat="1" applyFont="1" applyAlignment="1">
      <alignment horizontal="left"/>
    </xf>
    <xf numFmtId="1" fontId="13" fillId="0" borderId="0" xfId="0" applyNumberFormat="1" applyFont="1" applyAlignment="1">
      <alignment horizontal="center"/>
    </xf>
    <xf numFmtId="0" fontId="2" fillId="0" borderId="5" xfId="0" applyFont="1" applyBorder="1"/>
    <xf numFmtId="0" fontId="2" fillId="0" borderId="5" xfId="0" applyFont="1" applyBorder="1" applyAlignment="1">
      <alignment wrapText="1"/>
    </xf>
    <xf numFmtId="0" fontId="2" fillId="0" borderId="15" xfId="0" applyFont="1" applyBorder="1" applyAlignment="1">
      <alignment wrapText="1"/>
    </xf>
    <xf numFmtId="0" fontId="2" fillId="0" borderId="5" xfId="0" applyFont="1" applyBorder="1" applyAlignment="1">
      <alignment horizontal="center"/>
    </xf>
    <xf numFmtId="0" fontId="2" fillId="0" borderId="0" xfId="0" applyFont="1" applyAlignment="1">
      <alignment wrapText="1"/>
    </xf>
    <xf numFmtId="0" fontId="2" fillId="0" borderId="11" xfId="0" applyFont="1" applyBorder="1" applyAlignment="1">
      <alignment wrapText="1"/>
    </xf>
    <xf numFmtId="0" fontId="2" fillId="0" borderId="0" xfId="0" applyFont="1"/>
    <xf numFmtId="0" fontId="2" fillId="0" borderId="0" xfId="0" applyFont="1" applyAlignment="1">
      <alignment horizontal="left"/>
    </xf>
    <xf numFmtId="0" fontId="0" fillId="7" borderId="0" xfId="0" applyFill="1"/>
    <xf numFmtId="0" fontId="29" fillId="0" borderId="0" xfId="0" applyFont="1"/>
    <xf numFmtId="0" fontId="31" fillId="0" borderId="0" xfId="0" applyFont="1"/>
    <xf numFmtId="0" fontId="0" fillId="0" borderId="14" xfId="0" applyBorder="1"/>
    <xf numFmtId="0" fontId="8" fillId="5" borderId="16" xfId="0" applyFont="1" applyFill="1" applyBorder="1" applyAlignment="1" applyProtection="1">
      <alignment horizontal="center" vertical="center"/>
      <protection locked="0"/>
    </xf>
    <xf numFmtId="9" fontId="2" fillId="0" borderId="5" xfId="0" applyNumberFormat="1" applyFont="1" applyBorder="1" applyAlignment="1">
      <alignment horizontal="center"/>
    </xf>
    <xf numFmtId="20" fontId="3" fillId="0" borderId="0" xfId="0" applyNumberFormat="1" applyFont="1"/>
    <xf numFmtId="20" fontId="3" fillId="0" borderId="43" xfId="0" applyNumberFormat="1" applyFont="1" applyBorder="1"/>
    <xf numFmtId="0" fontId="3" fillId="3" borderId="5" xfId="0" applyFont="1" applyFill="1" applyBorder="1" applyProtection="1">
      <protection locked="0"/>
    </xf>
    <xf numFmtId="0" fontId="3" fillId="0" borderId="47" xfId="0" applyFont="1" applyBorder="1" applyAlignment="1" applyProtection="1">
      <alignment vertical="center"/>
      <protection locked="0"/>
    </xf>
    <xf numFmtId="0" fontId="3" fillId="7" borderId="5" xfId="0" applyFont="1" applyFill="1" applyBorder="1" applyProtection="1">
      <protection locked="0"/>
    </xf>
    <xf numFmtId="0" fontId="13" fillId="0" borderId="5" xfId="0" applyFont="1" applyBorder="1" applyAlignment="1" applyProtection="1">
      <alignment wrapText="1"/>
      <protection locked="0"/>
    </xf>
    <xf numFmtId="0" fontId="13" fillId="0" borderId="0" xfId="0" applyFont="1" applyAlignment="1" applyProtection="1">
      <alignment horizontal="center"/>
      <protection locked="0"/>
    </xf>
    <xf numFmtId="0" fontId="3" fillId="0" borderId="5" xfId="0" applyFont="1" applyBorder="1" applyAlignment="1" applyProtection="1">
      <alignment wrapText="1"/>
      <protection locked="0"/>
    </xf>
    <xf numFmtId="180" fontId="13" fillId="4" borderId="45" xfId="0" applyNumberFormat="1" applyFont="1" applyFill="1" applyBorder="1" applyAlignment="1">
      <alignment horizontal="center" vertical="center" shrinkToFit="1"/>
    </xf>
    <xf numFmtId="180" fontId="13" fillId="4" borderId="46" xfId="0" applyNumberFormat="1" applyFont="1" applyFill="1" applyBorder="1" applyAlignment="1">
      <alignment horizontal="center" vertical="center" shrinkToFit="1"/>
    </xf>
    <xf numFmtId="180" fontId="13" fillId="2" borderId="54" xfId="0" applyNumberFormat="1" applyFont="1" applyFill="1" applyBorder="1" applyAlignment="1" applyProtection="1">
      <alignment horizontal="center" vertical="center"/>
      <protection locked="0"/>
    </xf>
    <xf numFmtId="180" fontId="13" fillId="2" borderId="28" xfId="0" applyNumberFormat="1" applyFont="1" applyFill="1" applyBorder="1" applyAlignment="1" applyProtection="1">
      <alignment horizontal="center" vertical="center"/>
      <protection locked="0"/>
    </xf>
    <xf numFmtId="0" fontId="13" fillId="0" borderId="45" xfId="0" applyFont="1" applyBorder="1" applyAlignment="1">
      <alignment horizontal="left" vertical="center" wrapText="1" shrinkToFit="1"/>
    </xf>
    <xf numFmtId="0" fontId="13" fillId="0" borderId="47" xfId="0" applyFont="1" applyBorder="1" applyAlignment="1">
      <alignment horizontal="left" vertical="center" shrinkToFit="1"/>
    </xf>
    <xf numFmtId="0" fontId="13" fillId="0" borderId="46" xfId="0" applyFont="1" applyBorder="1" applyAlignment="1">
      <alignment horizontal="left" vertical="center" shrinkToFit="1"/>
    </xf>
    <xf numFmtId="0" fontId="13" fillId="0" borderId="3" xfId="0" applyFont="1" applyBorder="1" applyAlignment="1" applyProtection="1">
      <alignment horizontal="center" vertical="center"/>
      <protection locked="0"/>
    </xf>
    <xf numFmtId="0" fontId="13" fillId="0" borderId="12" xfId="0" applyFont="1" applyBorder="1" applyAlignment="1" applyProtection="1">
      <alignment horizontal="center" vertical="center"/>
      <protection locked="0"/>
    </xf>
    <xf numFmtId="0" fontId="10" fillId="5" borderId="1" xfId="0" applyFont="1" applyFill="1" applyBorder="1" applyAlignment="1" applyProtection="1">
      <alignment horizontal="center" vertical="center"/>
      <protection locked="0"/>
    </xf>
    <xf numFmtId="0" fontId="10" fillId="5" borderId="9" xfId="0" applyFont="1" applyFill="1" applyBorder="1" applyAlignment="1" applyProtection="1">
      <alignment horizontal="center" vertical="center"/>
      <protection locked="0"/>
    </xf>
    <xf numFmtId="0" fontId="2" fillId="0" borderId="45" xfId="0" applyFont="1" applyBorder="1" applyAlignment="1" applyProtection="1">
      <alignment horizontal="center" vertical="center"/>
      <protection locked="0"/>
    </xf>
    <xf numFmtId="0" fontId="0" fillId="0" borderId="47" xfId="0" applyBorder="1" applyAlignment="1" applyProtection="1">
      <alignment horizontal="center" vertical="center"/>
      <protection locked="0"/>
    </xf>
    <xf numFmtId="0" fontId="3" fillId="3" borderId="47" xfId="0" applyFont="1" applyFill="1" applyBorder="1" applyAlignment="1" applyProtection="1">
      <alignment horizontal="center" vertical="center"/>
      <protection locked="0"/>
    </xf>
    <xf numFmtId="0" fontId="0" fillId="3" borderId="47" xfId="0" applyFill="1" applyBorder="1" applyAlignment="1" applyProtection="1">
      <alignment horizontal="center" vertical="center"/>
      <protection locked="0"/>
    </xf>
    <xf numFmtId="0" fontId="13" fillId="2" borderId="45" xfId="0" applyFont="1" applyFill="1" applyBorder="1" applyAlignment="1" applyProtection="1">
      <alignment horizontal="center" vertical="center" shrinkToFit="1"/>
      <protection locked="0"/>
    </xf>
    <xf numFmtId="0" fontId="0" fillId="0" borderId="46" xfId="0" applyBorder="1" applyAlignment="1" applyProtection="1">
      <alignment horizontal="center" vertical="center" shrinkToFit="1"/>
      <protection locked="0"/>
    </xf>
    <xf numFmtId="0" fontId="1" fillId="0" borderId="19" xfId="0" applyFont="1" applyBorder="1" applyAlignment="1">
      <alignment horizontal="left" vertical="center"/>
    </xf>
    <xf numFmtId="0" fontId="1" fillId="0" borderId="8" xfId="0" applyFont="1" applyBorder="1" applyAlignment="1">
      <alignment horizontal="left" vertical="center"/>
    </xf>
    <xf numFmtId="49" fontId="13" fillId="0" borderId="3" xfId="0" quotePrefix="1" applyNumberFormat="1" applyFont="1" applyBorder="1" applyAlignment="1" applyProtection="1">
      <alignment horizontal="center" vertical="center" wrapText="1"/>
      <protection locked="0"/>
    </xf>
    <xf numFmtId="49" fontId="13" fillId="0" borderId="12" xfId="0" applyNumberFormat="1" applyFont="1" applyBorder="1" applyAlignment="1" applyProtection="1">
      <alignment horizontal="center" vertical="center" wrapText="1"/>
      <protection locked="0"/>
    </xf>
    <xf numFmtId="0" fontId="6" fillId="4" borderId="45" xfId="0" applyFont="1" applyFill="1" applyBorder="1" applyAlignment="1">
      <alignment horizontal="center" vertical="center"/>
    </xf>
    <xf numFmtId="0" fontId="6" fillId="4" borderId="46" xfId="0" applyFont="1" applyFill="1" applyBorder="1" applyAlignment="1">
      <alignment horizontal="center" vertical="center"/>
    </xf>
    <xf numFmtId="49" fontId="1" fillId="0" borderId="3" xfId="0" quotePrefix="1" applyNumberFormat="1" applyFont="1" applyBorder="1" applyAlignment="1" applyProtection="1">
      <alignment horizontal="center" vertical="center" wrapText="1"/>
      <protection locked="0"/>
    </xf>
    <xf numFmtId="49" fontId="1" fillId="0" borderId="12" xfId="0" applyNumberFormat="1" applyFont="1" applyBorder="1" applyAlignment="1" applyProtection="1">
      <alignment horizontal="center" vertical="center" wrapText="1"/>
      <protection locked="0"/>
    </xf>
    <xf numFmtId="0" fontId="13" fillId="0" borderId="45" xfId="0" applyFont="1" applyBorder="1" applyAlignment="1">
      <alignment horizontal="left" vertical="center" shrinkToFit="1"/>
    </xf>
    <xf numFmtId="180" fontId="13" fillId="2" borderId="31" xfId="0" applyNumberFormat="1" applyFont="1" applyFill="1" applyBorder="1" applyAlignment="1" applyProtection="1">
      <alignment horizontal="center" vertical="center"/>
      <protection locked="0"/>
    </xf>
    <xf numFmtId="0" fontId="0" fillId="0" borderId="47" xfId="0" applyBorder="1" applyAlignment="1">
      <alignment horizontal="left" vertical="center" shrinkToFit="1"/>
    </xf>
    <xf numFmtId="0" fontId="0" fillId="0" borderId="46" xfId="0" applyBorder="1" applyAlignment="1">
      <alignment horizontal="left" vertical="center" shrinkToFit="1"/>
    </xf>
    <xf numFmtId="0" fontId="3" fillId="2" borderId="37" xfId="0" applyFont="1" applyFill="1" applyBorder="1" applyAlignment="1" applyProtection="1">
      <alignment horizontal="center" vertical="center"/>
      <protection locked="0"/>
    </xf>
    <xf numFmtId="0" fontId="0" fillId="0" borderId="27" xfId="0" applyBorder="1" applyAlignment="1" applyProtection="1">
      <alignment horizontal="center" vertical="center"/>
      <protection locked="0"/>
    </xf>
    <xf numFmtId="0" fontId="2" fillId="0" borderId="37" xfId="0" applyFont="1" applyBorder="1" applyAlignment="1">
      <alignment horizontal="center" vertical="center" wrapText="1"/>
    </xf>
    <xf numFmtId="0" fontId="2" fillId="0" borderId="27" xfId="0" applyFont="1" applyBorder="1" applyAlignment="1">
      <alignment horizontal="center" vertical="center" wrapText="1"/>
    </xf>
    <xf numFmtId="180" fontId="8" fillId="2" borderId="32" xfId="0" applyNumberFormat="1" applyFont="1" applyFill="1" applyBorder="1" applyAlignment="1" applyProtection="1">
      <alignment horizontal="center" vertical="center"/>
      <protection locked="0"/>
    </xf>
    <xf numFmtId="180" fontId="8" fillId="2" borderId="13" xfId="0" applyNumberFormat="1" applyFont="1" applyFill="1" applyBorder="1" applyAlignment="1" applyProtection="1">
      <alignment horizontal="center" vertical="center"/>
      <protection locked="0"/>
    </xf>
    <xf numFmtId="0" fontId="13" fillId="0" borderId="25" xfId="0" applyFont="1" applyBorder="1" applyAlignment="1" applyProtection="1">
      <alignment horizontal="left" vertical="center" wrapText="1"/>
      <protection locked="0"/>
    </xf>
    <xf numFmtId="0" fontId="13" fillId="0" borderId="18" xfId="0" applyFont="1" applyBorder="1" applyAlignment="1" applyProtection="1">
      <alignment horizontal="left" vertical="center" wrapText="1"/>
      <protection locked="0"/>
    </xf>
    <xf numFmtId="0" fontId="13" fillId="0" borderId="58" xfId="0" applyFont="1" applyBorder="1" applyAlignment="1" applyProtection="1">
      <alignment horizontal="left" vertical="center" wrapText="1"/>
      <protection locked="0"/>
    </xf>
    <xf numFmtId="0" fontId="10" fillId="10" borderId="37" xfId="0" applyFont="1" applyFill="1" applyBorder="1" applyAlignment="1">
      <alignment horizontal="center" vertical="center"/>
    </xf>
    <xf numFmtId="0" fontId="10" fillId="10" borderId="27" xfId="0" applyFont="1" applyFill="1" applyBorder="1" applyAlignment="1">
      <alignment horizontal="center" vertical="center"/>
    </xf>
    <xf numFmtId="0" fontId="10" fillId="10" borderId="47" xfId="0" applyFont="1" applyFill="1" applyBorder="1" applyAlignment="1">
      <alignment horizontal="center" vertical="center"/>
    </xf>
    <xf numFmtId="0" fontId="24" fillId="7" borderId="45" xfId="0" applyFont="1" applyFill="1" applyBorder="1" applyAlignment="1">
      <alignment horizontal="left" vertical="center"/>
    </xf>
    <xf numFmtId="0" fontId="24" fillId="7" borderId="47" xfId="0" applyFont="1" applyFill="1" applyBorder="1" applyAlignment="1">
      <alignment horizontal="left" vertical="center"/>
    </xf>
    <xf numFmtId="180" fontId="8" fillId="2" borderId="45" xfId="0" applyNumberFormat="1" applyFont="1" applyFill="1" applyBorder="1" applyAlignment="1" applyProtection="1">
      <alignment horizontal="center" vertical="center"/>
      <protection locked="0"/>
    </xf>
    <xf numFmtId="180" fontId="8" fillId="2" borderId="47" xfId="0" applyNumberFormat="1" applyFont="1" applyFill="1" applyBorder="1" applyAlignment="1" applyProtection="1">
      <alignment horizontal="center" vertical="center"/>
      <protection locked="0"/>
    </xf>
    <xf numFmtId="180" fontId="8" fillId="12" borderId="32" xfId="0" applyNumberFormat="1" applyFont="1" applyFill="1" applyBorder="1" applyAlignment="1" applyProtection="1">
      <alignment horizontal="center" vertical="center"/>
      <protection locked="0"/>
    </xf>
    <xf numFmtId="180" fontId="8" fillId="12" borderId="13" xfId="0" applyNumberFormat="1" applyFont="1" applyFill="1" applyBorder="1" applyAlignment="1" applyProtection="1">
      <alignment horizontal="center" vertical="center"/>
      <protection locked="0"/>
    </xf>
    <xf numFmtId="0" fontId="8" fillId="10" borderId="45" xfId="0" applyFont="1" applyFill="1" applyBorder="1" applyAlignment="1">
      <alignment horizontal="center" vertical="center"/>
    </xf>
    <xf numFmtId="0" fontId="8" fillId="10" borderId="47" xfId="0" applyFont="1" applyFill="1" applyBorder="1" applyAlignment="1">
      <alignment horizontal="center" vertical="center"/>
    </xf>
    <xf numFmtId="180" fontId="13" fillId="2" borderId="45" xfId="0" applyNumberFormat="1" applyFont="1" applyFill="1" applyBorder="1" applyAlignment="1" applyProtection="1">
      <alignment horizontal="center" vertical="center"/>
      <protection locked="0"/>
    </xf>
    <xf numFmtId="180" fontId="13" fillId="2" borderId="46" xfId="0" applyNumberFormat="1" applyFont="1" applyFill="1" applyBorder="1" applyAlignment="1" applyProtection="1">
      <alignment horizontal="center" vertical="center"/>
      <protection locked="0"/>
    </xf>
    <xf numFmtId="0" fontId="8" fillId="2" borderId="61" xfId="0" applyFont="1" applyFill="1" applyBorder="1" applyAlignment="1">
      <alignment horizontal="center" vertical="center"/>
    </xf>
    <xf numFmtId="0" fontId="8" fillId="2" borderId="62" xfId="0" applyFont="1" applyFill="1" applyBorder="1" applyAlignment="1">
      <alignment horizontal="center" vertical="center"/>
    </xf>
    <xf numFmtId="0" fontId="8" fillId="2" borderId="63" xfId="0" applyFont="1" applyFill="1" applyBorder="1" applyAlignment="1">
      <alignment horizontal="center" vertical="center"/>
    </xf>
    <xf numFmtId="0" fontId="8" fillId="2" borderId="54" xfId="0" applyFont="1" applyFill="1" applyBorder="1" applyAlignment="1">
      <alignment horizontal="center" vertical="center"/>
    </xf>
    <xf numFmtId="0" fontId="8" fillId="2" borderId="45" xfId="0" applyFont="1" applyFill="1" applyBorder="1" applyAlignment="1">
      <alignment horizontal="center" vertical="center"/>
    </xf>
    <xf numFmtId="0" fontId="8" fillId="2" borderId="47" xfId="0" applyFont="1" applyFill="1" applyBorder="1" applyAlignment="1">
      <alignment horizontal="center" vertical="center"/>
    </xf>
    <xf numFmtId="0" fontId="8" fillId="0" borderId="45" xfId="0" applyFont="1" applyBorder="1" applyAlignment="1">
      <alignment horizontal="center" vertical="center" wrapText="1" shrinkToFit="1"/>
    </xf>
    <xf numFmtId="0" fontId="8" fillId="0" borderId="46" xfId="0" applyFont="1" applyBorder="1" applyAlignment="1">
      <alignment horizontal="center" vertical="center" wrapText="1" shrinkToFit="1"/>
    </xf>
    <xf numFmtId="0" fontId="12" fillId="0" borderId="52" xfId="0" applyFont="1" applyBorder="1" applyAlignment="1">
      <alignment horizontal="center" vertical="center"/>
    </xf>
    <xf numFmtId="0" fontId="12" fillId="0" borderId="50" xfId="0" applyFont="1" applyBorder="1" applyAlignment="1">
      <alignment horizontal="center" vertical="center"/>
    </xf>
    <xf numFmtId="0" fontId="3" fillId="7" borderId="29" xfId="0" applyFont="1" applyFill="1" applyBorder="1" applyAlignment="1" applyProtection="1">
      <alignment horizontal="center"/>
      <protection locked="0"/>
    </xf>
    <xf numFmtId="0" fontId="3" fillId="7" borderId="34" xfId="0" applyFont="1" applyFill="1" applyBorder="1" applyAlignment="1" applyProtection="1">
      <alignment horizontal="center"/>
      <protection locked="0"/>
    </xf>
    <xf numFmtId="0" fontId="3" fillId="7" borderId="28" xfId="0" applyFont="1" applyFill="1" applyBorder="1" applyAlignment="1" applyProtection="1">
      <alignment horizontal="center"/>
      <protection locked="0"/>
    </xf>
    <xf numFmtId="0" fontId="8" fillId="0" borderId="41" xfId="0" applyFont="1" applyBorder="1" applyAlignment="1">
      <alignment horizontal="center" vertical="center" wrapText="1" shrinkToFit="1"/>
    </xf>
    <xf numFmtId="0" fontId="13" fillId="0" borderId="34" xfId="0" applyFont="1" applyBorder="1" applyAlignment="1">
      <alignment horizontal="center" vertical="center" wrapText="1" shrinkToFit="1"/>
    </xf>
    <xf numFmtId="0" fontId="13" fillId="0" borderId="37" xfId="0" applyFont="1" applyBorder="1" applyAlignment="1">
      <alignment horizontal="center" vertical="center" wrapText="1" shrinkToFit="1"/>
    </xf>
    <xf numFmtId="0" fontId="13" fillId="0" borderId="28" xfId="0" applyFont="1" applyBorder="1" applyAlignment="1">
      <alignment horizontal="center" vertical="center" wrapText="1" shrinkToFit="1"/>
    </xf>
    <xf numFmtId="0" fontId="13" fillId="0" borderId="47" xfId="0" applyFont="1" applyBorder="1" applyAlignment="1">
      <alignment horizontal="left" vertical="center" wrapText="1" shrinkToFit="1"/>
    </xf>
    <xf numFmtId="0" fontId="13" fillId="0" borderId="46" xfId="0" applyFont="1" applyBorder="1" applyAlignment="1">
      <alignment horizontal="left" vertical="center" wrapText="1" shrinkToFit="1"/>
    </xf>
    <xf numFmtId="180" fontId="8" fillId="4" borderId="45" xfId="0" applyNumberFormat="1" applyFont="1" applyFill="1" applyBorder="1" applyAlignment="1">
      <alignment horizontal="center" vertical="center"/>
    </xf>
    <xf numFmtId="180" fontId="8" fillId="4" borderId="46" xfId="0" applyNumberFormat="1" applyFont="1" applyFill="1" applyBorder="1" applyAlignment="1">
      <alignment horizontal="center" vertical="center"/>
    </xf>
    <xf numFmtId="0" fontId="13" fillId="0" borderId="32" xfId="0" applyFont="1" applyBorder="1" applyAlignment="1">
      <alignment horizontal="center" vertical="center" wrapText="1" shrinkToFit="1"/>
    </xf>
    <xf numFmtId="0" fontId="13" fillId="0" borderId="29" xfId="0" applyFont="1" applyBorder="1" applyAlignment="1">
      <alignment horizontal="center" vertical="center" shrinkToFit="1"/>
    </xf>
    <xf numFmtId="0" fontId="13" fillId="0" borderId="37" xfId="0" applyFont="1" applyBorder="1" applyAlignment="1">
      <alignment horizontal="center" vertical="center" shrinkToFit="1"/>
    </xf>
    <xf numFmtId="0" fontId="13" fillId="0" borderId="28" xfId="0" applyFont="1" applyBorder="1" applyAlignment="1">
      <alignment horizontal="center" vertical="center" shrinkToFit="1"/>
    </xf>
    <xf numFmtId="0" fontId="3" fillId="0" borderId="45" xfId="0" applyFont="1" applyBorder="1" applyAlignment="1" applyProtection="1">
      <alignment horizontal="center" vertical="center"/>
      <protection locked="0"/>
    </xf>
    <xf numFmtId="0" fontId="3" fillId="0" borderId="47" xfId="0" applyFont="1" applyBorder="1" applyAlignment="1" applyProtection="1">
      <alignment horizontal="center" vertical="center"/>
      <protection locked="0"/>
    </xf>
    <xf numFmtId="0" fontId="6" fillId="0" borderId="45" xfId="0" applyFont="1" applyBorder="1" applyAlignment="1" applyProtection="1">
      <alignment horizontal="center" vertical="center"/>
      <protection locked="0"/>
    </xf>
    <xf numFmtId="0" fontId="6" fillId="0" borderId="47" xfId="0" applyFont="1" applyBorder="1" applyAlignment="1" applyProtection="1">
      <alignment horizontal="center" vertical="center"/>
      <protection locked="0"/>
    </xf>
    <xf numFmtId="0" fontId="3" fillId="3" borderId="45" xfId="0" applyFont="1" applyFill="1" applyBorder="1" applyAlignment="1" applyProtection="1">
      <alignment horizontal="center" vertical="center"/>
      <protection locked="0"/>
    </xf>
    <xf numFmtId="0" fontId="7" fillId="3" borderId="46" xfId="0" applyFont="1" applyFill="1" applyBorder="1" applyAlignment="1" applyProtection="1">
      <alignment horizontal="center" vertical="center"/>
      <protection locked="0"/>
    </xf>
    <xf numFmtId="0" fontId="11" fillId="0" borderId="52" xfId="0" applyFont="1" applyBorder="1" applyAlignment="1">
      <alignment horizontal="left" vertical="center"/>
    </xf>
    <xf numFmtId="0" fontId="11" fillId="0" borderId="51" xfId="0" applyFont="1" applyBorder="1" applyAlignment="1">
      <alignment horizontal="left" vertical="center"/>
    </xf>
    <xf numFmtId="0" fontId="1" fillId="0" borderId="49" xfId="0" applyFont="1" applyBorder="1" applyAlignment="1">
      <alignment horizontal="left" vertical="center"/>
    </xf>
    <xf numFmtId="0" fontId="1" fillId="0" borderId="50" xfId="0" applyFont="1" applyBorder="1" applyAlignment="1">
      <alignment horizontal="left" vertical="center"/>
    </xf>
    <xf numFmtId="0" fontId="1" fillId="0" borderId="51" xfId="0" applyFont="1" applyBorder="1" applyAlignment="1">
      <alignment horizontal="left" vertical="center"/>
    </xf>
    <xf numFmtId="180" fontId="3" fillId="2" borderId="9" xfId="0" applyNumberFormat="1" applyFont="1" applyFill="1" applyBorder="1" applyAlignment="1" applyProtection="1">
      <alignment horizontal="center" vertical="center"/>
      <protection locked="0"/>
    </xf>
    <xf numFmtId="180" fontId="3" fillId="2" borderId="10" xfId="0" applyNumberFormat="1" applyFont="1" applyFill="1" applyBorder="1" applyAlignment="1" applyProtection="1">
      <alignment horizontal="center" vertical="center"/>
      <protection locked="0"/>
    </xf>
    <xf numFmtId="0" fontId="13" fillId="0" borderId="4" xfId="0" applyFont="1" applyBorder="1" applyAlignment="1" applyProtection="1">
      <alignment horizontal="left" vertical="center" wrapText="1"/>
      <protection locked="0"/>
    </xf>
    <xf numFmtId="0" fontId="13" fillId="0" borderId="15" xfId="0" applyFont="1" applyBorder="1" applyAlignment="1" applyProtection="1">
      <alignment horizontal="left" vertical="center" wrapText="1"/>
      <protection locked="0"/>
    </xf>
    <xf numFmtId="0" fontId="1" fillId="0" borderId="39" xfId="0" applyFont="1" applyBorder="1" applyAlignment="1">
      <alignment horizontal="left" vertical="center"/>
    </xf>
    <xf numFmtId="0" fontId="1" fillId="0" borderId="40" xfId="0" applyFont="1" applyBorder="1" applyAlignment="1">
      <alignment horizontal="left" vertical="center"/>
    </xf>
    <xf numFmtId="0" fontId="11" fillId="0" borderId="40" xfId="0" applyFont="1" applyBorder="1" applyAlignment="1">
      <alignment horizontal="left" vertical="center"/>
    </xf>
    <xf numFmtId="0" fontId="13" fillId="0" borderId="5" xfId="0" applyFont="1" applyBorder="1" applyAlignment="1">
      <alignment horizontal="left" vertical="center" wrapText="1"/>
    </xf>
    <xf numFmtId="0" fontId="13" fillId="0" borderId="14" xfId="0" applyFont="1" applyBorder="1" applyAlignment="1" applyProtection="1">
      <alignment horizontal="left" vertical="center" wrapText="1"/>
      <protection locked="0"/>
    </xf>
    <xf numFmtId="0" fontId="11" fillId="0" borderId="6" xfId="0" applyFont="1" applyBorder="1" applyAlignment="1">
      <alignment horizontal="left" vertical="center"/>
    </xf>
    <xf numFmtId="0" fontId="15" fillId="0" borderId="4" xfId="0" applyFont="1" applyBorder="1" applyAlignment="1" applyProtection="1">
      <alignment horizontal="left" vertical="center" wrapText="1"/>
      <protection locked="0"/>
    </xf>
    <xf numFmtId="0" fontId="15" fillId="0" borderId="14" xfId="0" applyFont="1" applyBorder="1" applyAlignment="1" applyProtection="1">
      <alignment horizontal="left" vertical="center" wrapText="1"/>
      <protection locked="0"/>
    </xf>
    <xf numFmtId="0" fontId="15" fillId="0" borderId="15" xfId="0" applyFont="1" applyBorder="1" applyAlignment="1" applyProtection="1">
      <alignment horizontal="left" vertical="center" wrapText="1"/>
      <protection locked="0"/>
    </xf>
    <xf numFmtId="0" fontId="10" fillId="10" borderId="45" xfId="0" applyFont="1" applyFill="1" applyBorder="1" applyAlignment="1">
      <alignment horizontal="center" vertical="center"/>
    </xf>
    <xf numFmtId="0" fontId="8" fillId="0" borderId="37" xfId="0" applyFont="1" applyBorder="1" applyAlignment="1">
      <alignment horizontal="center" vertical="center" wrapText="1" shrinkToFit="1"/>
    </xf>
    <xf numFmtId="0" fontId="8" fillId="0" borderId="28" xfId="0" applyFont="1" applyBorder="1" applyAlignment="1">
      <alignment horizontal="center" vertical="center" wrapText="1" shrinkToFit="1"/>
    </xf>
    <xf numFmtId="170" fontId="3" fillId="12" borderId="45" xfId="0" applyNumberFormat="1" applyFont="1" applyFill="1" applyBorder="1" applyAlignment="1" applyProtection="1">
      <alignment horizontal="center" vertical="center"/>
      <protection locked="0"/>
    </xf>
    <xf numFmtId="170" fontId="7" fillId="12" borderId="47" xfId="0" applyNumberFormat="1" applyFont="1" applyFill="1" applyBorder="1" applyAlignment="1" applyProtection="1">
      <alignment horizontal="center" vertical="center"/>
      <protection locked="0"/>
    </xf>
    <xf numFmtId="180" fontId="8" fillId="2" borderId="41" xfId="0" applyNumberFormat="1" applyFont="1" applyFill="1" applyBorder="1" applyAlignment="1">
      <alignment horizontal="center" vertical="center" wrapText="1"/>
    </xf>
    <xf numFmtId="180" fontId="8" fillId="2" borderId="0" xfId="0" applyNumberFormat="1" applyFont="1" applyFill="1" applyAlignment="1">
      <alignment horizontal="center" vertical="center" wrapText="1"/>
    </xf>
    <xf numFmtId="180" fontId="8" fillId="0" borderId="41" xfId="0" applyNumberFormat="1" applyFont="1" applyBorder="1" applyAlignment="1">
      <alignment horizontal="center" vertical="center" wrapText="1"/>
    </xf>
    <xf numFmtId="180" fontId="8" fillId="0" borderId="34" xfId="0" applyNumberFormat="1" applyFont="1" applyBorder="1" applyAlignment="1">
      <alignment horizontal="center" vertical="center" wrapText="1"/>
    </xf>
    <xf numFmtId="180" fontId="8" fillId="0" borderId="37" xfId="0" applyNumberFormat="1" applyFont="1" applyBorder="1" applyAlignment="1">
      <alignment horizontal="center" vertical="center" wrapText="1"/>
    </xf>
    <xf numFmtId="180" fontId="8" fillId="0" borderId="28" xfId="0" applyNumberFormat="1" applyFont="1" applyBorder="1" applyAlignment="1">
      <alignment horizontal="center" vertical="center" wrapText="1"/>
    </xf>
    <xf numFmtId="0" fontId="25" fillId="7" borderId="47" xfId="0" applyFont="1" applyFill="1" applyBorder="1" applyAlignment="1">
      <alignment horizontal="left" vertical="center"/>
    </xf>
    <xf numFmtId="0" fontId="25" fillId="7" borderId="13" xfId="0" applyFont="1" applyFill="1" applyBorder="1" applyAlignment="1">
      <alignment horizontal="left" vertical="center"/>
    </xf>
    <xf numFmtId="0" fontId="25" fillId="7" borderId="29" xfId="0" applyFont="1" applyFill="1" applyBorder="1" applyAlignment="1">
      <alignment horizontal="left" vertical="center"/>
    </xf>
    <xf numFmtId="0" fontId="14" fillId="2" borderId="37" xfId="0" applyFont="1" applyFill="1" applyBorder="1" applyAlignment="1" applyProtection="1">
      <alignment horizontal="center" vertical="center"/>
      <protection locked="0"/>
    </xf>
    <xf numFmtId="0" fontId="14" fillId="2" borderId="27" xfId="0" applyFont="1" applyFill="1" applyBorder="1" applyAlignment="1" applyProtection="1">
      <alignment horizontal="center" vertical="center"/>
      <protection locked="0"/>
    </xf>
    <xf numFmtId="171" fontId="8" fillId="2" borderId="37" xfId="0" applyNumberFormat="1" applyFont="1" applyFill="1" applyBorder="1" applyAlignment="1" applyProtection="1">
      <alignment horizontal="center" vertical="center" wrapText="1" shrinkToFit="1"/>
      <protection locked="0"/>
    </xf>
    <xf numFmtId="171" fontId="8" fillId="2" borderId="28" xfId="0" applyNumberFormat="1" applyFont="1" applyFill="1" applyBorder="1" applyAlignment="1" applyProtection="1">
      <alignment horizontal="center" vertical="center" wrapText="1" shrinkToFit="1"/>
      <protection locked="0"/>
    </xf>
    <xf numFmtId="169" fontId="10" fillId="2" borderId="45" xfId="0" applyNumberFormat="1" applyFont="1" applyFill="1" applyBorder="1" applyAlignment="1" applyProtection="1">
      <alignment horizontal="center" vertical="center"/>
      <protection locked="0"/>
    </xf>
    <xf numFmtId="169" fontId="10" fillId="2" borderId="47" xfId="0" applyNumberFormat="1" applyFont="1" applyFill="1" applyBorder="1" applyAlignment="1" applyProtection="1">
      <alignment horizontal="center" vertical="center"/>
      <protection locked="0"/>
    </xf>
    <xf numFmtId="173" fontId="3" fillId="2" borderId="66" xfId="0" applyNumberFormat="1" applyFont="1" applyFill="1" applyBorder="1" applyAlignment="1" applyProtection="1">
      <alignment horizontal="center" vertical="center"/>
      <protection locked="0"/>
    </xf>
    <xf numFmtId="173" fontId="3" fillId="2" borderId="6" xfId="0" applyNumberFormat="1" applyFont="1" applyFill="1" applyBorder="1" applyAlignment="1" applyProtection="1">
      <alignment horizontal="center" vertical="center"/>
      <protection locked="0"/>
    </xf>
    <xf numFmtId="173" fontId="3" fillId="2" borderId="67" xfId="0" applyNumberFormat="1" applyFont="1" applyFill="1" applyBorder="1" applyAlignment="1" applyProtection="1">
      <alignment horizontal="center" vertical="center"/>
      <protection locked="0"/>
    </xf>
    <xf numFmtId="184" fontId="13" fillId="0" borderId="45" xfId="0" applyNumberFormat="1" applyFont="1" applyBorder="1" applyAlignment="1" applyProtection="1">
      <alignment horizontal="center" vertical="center"/>
      <protection locked="0"/>
    </xf>
    <xf numFmtId="184" fontId="13" fillId="0" borderId="46" xfId="0" applyNumberFormat="1" applyFont="1" applyBorder="1" applyAlignment="1" applyProtection="1">
      <alignment horizontal="center" vertical="center"/>
      <protection locked="0"/>
    </xf>
    <xf numFmtId="184" fontId="13" fillId="0" borderId="47" xfId="0" applyNumberFormat="1" applyFont="1" applyBorder="1" applyAlignment="1" applyProtection="1">
      <alignment horizontal="center" vertical="center"/>
      <protection locked="0"/>
    </xf>
    <xf numFmtId="184" fontId="13" fillId="2" borderId="56" xfId="0" applyNumberFormat="1" applyFont="1" applyFill="1" applyBorder="1" applyAlignment="1" applyProtection="1">
      <alignment horizontal="center" vertical="center" shrinkToFit="1"/>
      <protection locked="0"/>
    </xf>
    <xf numFmtId="184" fontId="13" fillId="2" borderId="55" xfId="0" applyNumberFormat="1" applyFont="1" applyFill="1" applyBorder="1" applyAlignment="1" applyProtection="1">
      <alignment horizontal="center" vertical="center" shrinkToFit="1"/>
      <protection locked="0"/>
    </xf>
    <xf numFmtId="180" fontId="8" fillId="4" borderId="56" xfId="0" applyNumberFormat="1" applyFont="1" applyFill="1" applyBorder="1" applyAlignment="1">
      <alignment horizontal="center" vertical="center"/>
    </xf>
    <xf numFmtId="0" fontId="13" fillId="0" borderId="13" xfId="0" applyFont="1" applyBorder="1" applyAlignment="1">
      <alignment horizontal="center" vertical="center" shrinkToFit="1"/>
    </xf>
    <xf numFmtId="0" fontId="13" fillId="0" borderId="27" xfId="0" applyFont="1" applyBorder="1" applyAlignment="1">
      <alignment horizontal="center" vertical="center" shrinkToFit="1"/>
    </xf>
    <xf numFmtId="180" fontId="8" fillId="4" borderId="47" xfId="0" applyNumberFormat="1" applyFont="1" applyFill="1" applyBorder="1" applyAlignment="1">
      <alignment horizontal="center" vertical="center"/>
    </xf>
    <xf numFmtId="0" fontId="6" fillId="4" borderId="47" xfId="0" applyFont="1" applyFill="1" applyBorder="1" applyAlignment="1">
      <alignment horizontal="center" vertical="center"/>
    </xf>
    <xf numFmtId="0" fontId="25" fillId="7" borderId="27" xfId="0" applyFont="1" applyFill="1" applyBorder="1" applyAlignment="1">
      <alignment horizontal="left" vertical="center"/>
    </xf>
    <xf numFmtId="0" fontId="25" fillId="7" borderId="28" xfId="0" applyFont="1" applyFill="1" applyBorder="1" applyAlignment="1">
      <alignment horizontal="left" vertical="center"/>
    </xf>
    <xf numFmtId="0" fontId="24" fillId="7" borderId="37" xfId="0" applyFont="1" applyFill="1" applyBorder="1" applyAlignment="1">
      <alignment horizontal="left" vertical="center"/>
    </xf>
    <xf numFmtId="0" fontId="24" fillId="7" borderId="27" xfId="0" applyFont="1" applyFill="1" applyBorder="1" applyAlignment="1">
      <alignment horizontal="left" vertical="center"/>
    </xf>
    <xf numFmtId="180" fontId="13" fillId="4" borderId="45" xfId="0" applyNumberFormat="1" applyFont="1" applyFill="1" applyBorder="1" applyAlignment="1">
      <alignment horizontal="center" vertical="center"/>
    </xf>
    <xf numFmtId="180" fontId="13" fillId="4" borderId="47" xfId="0" applyNumberFormat="1" applyFont="1" applyFill="1" applyBorder="1" applyAlignment="1">
      <alignment horizontal="center" vertical="center"/>
    </xf>
    <xf numFmtId="180" fontId="13" fillId="2" borderId="27" xfId="0" applyNumberFormat="1" applyFont="1" applyFill="1" applyBorder="1" applyAlignment="1" applyProtection="1">
      <alignment horizontal="center" vertical="center"/>
      <protection locked="0"/>
    </xf>
    <xf numFmtId="180" fontId="13" fillId="2" borderId="45" xfId="0" applyNumberFormat="1" applyFont="1" applyFill="1" applyBorder="1" applyAlignment="1">
      <alignment horizontal="center" vertical="center"/>
    </xf>
    <xf numFmtId="180" fontId="13" fillId="2" borderId="46" xfId="0" applyNumberFormat="1" applyFont="1" applyFill="1" applyBorder="1" applyAlignment="1">
      <alignment horizontal="center" vertical="center"/>
    </xf>
    <xf numFmtId="0" fontId="24" fillId="7" borderId="13" xfId="0" applyFont="1" applyFill="1" applyBorder="1" applyAlignment="1">
      <alignment horizontal="left" vertical="center"/>
    </xf>
    <xf numFmtId="180" fontId="13" fillId="2" borderId="45" xfId="0" applyNumberFormat="1" applyFont="1" applyFill="1" applyBorder="1" applyAlignment="1" applyProtection="1">
      <alignment horizontal="center" vertical="center" shrinkToFit="1"/>
      <protection locked="0"/>
    </xf>
    <xf numFmtId="180" fontId="13" fillId="2" borderId="47" xfId="0" applyNumberFormat="1" applyFont="1" applyFill="1" applyBorder="1" applyAlignment="1" applyProtection="1">
      <alignment horizontal="center" vertical="center" shrinkToFit="1"/>
      <protection locked="0"/>
    </xf>
    <xf numFmtId="0" fontId="3" fillId="4" borderId="45" xfId="0" applyFont="1" applyFill="1" applyBorder="1" applyAlignment="1">
      <alignment horizontal="center" vertical="center"/>
    </xf>
    <xf numFmtId="0" fontId="3" fillId="4" borderId="46" xfId="0" applyFont="1" applyFill="1" applyBorder="1" applyAlignment="1">
      <alignment horizontal="center" vertical="center"/>
    </xf>
    <xf numFmtId="0" fontId="13" fillId="0" borderId="27" xfId="0" applyFont="1" applyBorder="1" applyAlignment="1">
      <alignment horizontal="left" vertical="center" shrinkToFit="1"/>
    </xf>
    <xf numFmtId="0" fontId="3" fillId="0" borderId="37"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9" fontId="13" fillId="0" borderId="3" xfId="1" applyFont="1" applyBorder="1" applyAlignment="1" applyProtection="1">
      <alignment horizontal="center" vertical="center"/>
      <protection locked="0"/>
    </xf>
    <xf numFmtId="9" fontId="13" fillId="0" borderId="12" xfId="1" applyFont="1" applyBorder="1" applyAlignment="1" applyProtection="1">
      <alignment horizontal="center" vertical="center"/>
      <protection locked="0"/>
    </xf>
    <xf numFmtId="180" fontId="8" fillId="4" borderId="55" xfId="0" applyNumberFormat="1" applyFont="1" applyFill="1" applyBorder="1" applyAlignment="1">
      <alignment horizontal="center" vertical="center"/>
    </xf>
    <xf numFmtId="0" fontId="8" fillId="0" borderId="45" xfId="0" applyFont="1" applyBorder="1" applyAlignment="1">
      <alignment horizontal="left" vertical="center" shrinkToFit="1"/>
    </xf>
    <xf numFmtId="0" fontId="3" fillId="3" borderId="37" xfId="0" applyFont="1" applyFill="1" applyBorder="1" applyAlignment="1" applyProtection="1">
      <alignment horizontal="center" vertical="center"/>
      <protection locked="0"/>
    </xf>
    <xf numFmtId="0" fontId="3" fillId="3" borderId="27" xfId="0" applyFont="1" applyFill="1" applyBorder="1" applyAlignment="1" applyProtection="1">
      <alignment horizontal="center" vertical="center"/>
      <protection locked="0"/>
    </xf>
    <xf numFmtId="180" fontId="1" fillId="0" borderId="45" xfId="0" applyNumberFormat="1" applyFont="1" applyBorder="1" applyAlignment="1" applyProtection="1">
      <alignment horizontal="center" vertical="center" wrapText="1"/>
      <protection locked="0"/>
    </xf>
    <xf numFmtId="180" fontId="1" fillId="0" borderId="46" xfId="0" applyNumberFormat="1" applyFont="1" applyBorder="1" applyAlignment="1" applyProtection="1">
      <alignment horizontal="center" vertical="center" wrapText="1"/>
      <protection locked="0"/>
    </xf>
    <xf numFmtId="0" fontId="2" fillId="0" borderId="45" xfId="0" applyFont="1" applyBorder="1" applyAlignment="1" applyProtection="1">
      <alignment horizontal="center" vertical="center" wrapText="1"/>
      <protection locked="0"/>
    </xf>
    <xf numFmtId="9" fontId="10" fillId="5" borderId="1" xfId="1" applyFont="1" applyFill="1" applyBorder="1" applyAlignment="1" applyProtection="1">
      <alignment horizontal="center" vertical="center"/>
      <protection locked="0"/>
    </xf>
    <xf numFmtId="9" fontId="10" fillId="5" borderId="9" xfId="1" applyFont="1" applyFill="1" applyBorder="1" applyAlignment="1" applyProtection="1">
      <alignment horizontal="center" vertical="center"/>
      <protection locked="0"/>
    </xf>
    <xf numFmtId="0" fontId="13" fillId="0" borderId="37" xfId="0" applyFont="1" applyBorder="1" applyAlignment="1" applyProtection="1">
      <alignment horizontal="center" vertical="center"/>
      <protection locked="0"/>
    </xf>
    <xf numFmtId="0" fontId="13" fillId="0" borderId="37" xfId="0" applyFont="1" applyBorder="1" applyAlignment="1">
      <alignment horizontal="left" vertical="center" shrinkToFit="1"/>
    </xf>
    <xf numFmtId="0" fontId="0" fillId="0" borderId="27" xfId="0" applyBorder="1" applyAlignment="1">
      <alignment horizontal="left" vertical="center" shrinkToFit="1"/>
    </xf>
    <xf numFmtId="0" fontId="0" fillId="0" borderId="28" xfId="0" applyBorder="1" applyAlignment="1">
      <alignment horizontal="left" vertical="center" shrinkToFit="1"/>
    </xf>
    <xf numFmtId="184" fontId="13" fillId="2" borderId="37" xfId="0" applyNumberFormat="1" applyFont="1" applyFill="1" applyBorder="1" applyAlignment="1" applyProtection="1">
      <alignment horizontal="center" vertical="center" shrinkToFit="1"/>
      <protection locked="0"/>
    </xf>
    <xf numFmtId="184" fontId="13" fillId="2" borderId="27" xfId="0" applyNumberFormat="1" applyFont="1" applyFill="1" applyBorder="1" applyAlignment="1" applyProtection="1">
      <alignment horizontal="center" vertical="center" shrinkToFit="1"/>
      <protection locked="0"/>
    </xf>
    <xf numFmtId="184" fontId="13" fillId="2" borderId="28" xfId="0" applyNumberFormat="1" applyFont="1" applyFill="1" applyBorder="1" applyAlignment="1" applyProtection="1">
      <alignment horizontal="center" vertical="center" shrinkToFit="1"/>
      <protection locked="0"/>
    </xf>
    <xf numFmtId="0" fontId="3" fillId="0" borderId="45" xfId="0" applyFont="1" applyBorder="1" applyAlignment="1">
      <alignment horizontal="center" vertical="center" wrapText="1" shrinkToFit="1"/>
    </xf>
    <xf numFmtId="0" fontId="3" fillId="0" borderId="47" xfId="0" applyFont="1" applyBorder="1" applyAlignment="1">
      <alignment horizontal="center" vertical="center" wrapText="1" shrinkToFit="1"/>
    </xf>
    <xf numFmtId="180" fontId="1" fillId="0" borderId="47" xfId="0" applyNumberFormat="1" applyFont="1" applyBorder="1" applyAlignment="1" applyProtection="1">
      <alignment horizontal="center" vertical="center"/>
      <protection locked="0"/>
    </xf>
    <xf numFmtId="180" fontId="13" fillId="0" borderId="45" xfId="0" applyNumberFormat="1" applyFont="1" applyBorder="1" applyAlignment="1" applyProtection="1">
      <alignment horizontal="center" vertical="center" shrinkToFit="1"/>
      <protection locked="0"/>
    </xf>
    <xf numFmtId="180" fontId="13" fillId="0" borderId="47" xfId="0" applyNumberFormat="1" applyFont="1" applyBorder="1" applyAlignment="1" applyProtection="1">
      <alignment horizontal="center" vertical="center" shrinkToFit="1"/>
      <protection locked="0"/>
    </xf>
    <xf numFmtId="180" fontId="13" fillId="2" borderId="32" xfId="0" applyNumberFormat="1" applyFont="1" applyFill="1" applyBorder="1" applyAlignment="1" applyProtection="1">
      <alignment horizontal="center" vertical="center"/>
      <protection locked="0"/>
    </xf>
    <xf numFmtId="180" fontId="13" fillId="2" borderId="29" xfId="0" applyNumberFormat="1" applyFont="1" applyFill="1" applyBorder="1" applyAlignment="1" applyProtection="1">
      <alignment horizontal="center" vertical="center"/>
      <protection locked="0"/>
    </xf>
    <xf numFmtId="0" fontId="6" fillId="0" borderId="32" xfId="0" applyFont="1" applyBorder="1" applyAlignment="1" applyProtection="1">
      <alignment horizontal="center" vertical="center"/>
      <protection locked="0"/>
    </xf>
    <xf numFmtId="0" fontId="6" fillId="0" borderId="13" xfId="0" applyFont="1" applyBorder="1" applyAlignment="1" applyProtection="1">
      <alignment horizontal="center" vertical="center"/>
      <protection locked="0"/>
    </xf>
    <xf numFmtId="0" fontId="13" fillId="0" borderId="13" xfId="0" applyFont="1" applyBorder="1" applyAlignment="1">
      <alignment horizontal="center" vertical="center" wrapText="1" shrinkToFit="1"/>
    </xf>
    <xf numFmtId="0" fontId="13" fillId="0" borderId="41" xfId="0" applyFont="1" applyBorder="1" applyAlignment="1">
      <alignment horizontal="center" vertical="center" wrapText="1" shrinkToFit="1"/>
    </xf>
    <xf numFmtId="0" fontId="13" fillId="0" borderId="0" xfId="0" applyFont="1" applyAlignment="1">
      <alignment horizontal="center" vertical="center" wrapText="1" shrinkToFit="1"/>
    </xf>
    <xf numFmtId="0" fontId="13" fillId="0" borderId="27" xfId="0" applyFont="1" applyBorder="1" applyAlignment="1">
      <alignment horizontal="center" vertical="center" wrapText="1" shrinkToFit="1"/>
    </xf>
    <xf numFmtId="184" fontId="13" fillId="2" borderId="32" xfId="0" applyNumberFormat="1" applyFont="1" applyFill="1" applyBorder="1" applyAlignment="1" applyProtection="1">
      <alignment horizontal="center" vertical="center"/>
      <protection locked="0"/>
    </xf>
    <xf numFmtId="184" fontId="13" fillId="2" borderId="29" xfId="0" applyNumberFormat="1" applyFont="1" applyFill="1" applyBorder="1" applyAlignment="1" applyProtection="1">
      <alignment horizontal="center" vertical="center"/>
      <protection locked="0"/>
    </xf>
    <xf numFmtId="184" fontId="13" fillId="2" borderId="37" xfId="0" applyNumberFormat="1" applyFont="1" applyFill="1" applyBorder="1" applyAlignment="1" applyProtection="1">
      <alignment horizontal="center" vertical="center"/>
      <protection locked="0"/>
    </xf>
    <xf numFmtId="184" fontId="13" fillId="2" borderId="28" xfId="0" applyNumberFormat="1" applyFont="1" applyFill="1" applyBorder="1" applyAlignment="1" applyProtection="1">
      <alignment horizontal="center" vertical="center"/>
      <protection locked="0"/>
    </xf>
    <xf numFmtId="184" fontId="32" fillId="2" borderId="45" xfId="0" applyNumberFormat="1" applyFont="1" applyFill="1" applyBorder="1" applyAlignment="1" applyProtection="1">
      <alignment horizontal="center" vertical="center" wrapText="1"/>
      <protection locked="0"/>
    </xf>
    <xf numFmtId="184" fontId="13" fillId="2" borderId="47" xfId="0" applyNumberFormat="1" applyFont="1" applyFill="1" applyBorder="1" applyAlignment="1" applyProtection="1">
      <alignment horizontal="center" vertical="center"/>
      <protection locked="0"/>
    </xf>
    <xf numFmtId="184" fontId="13" fillId="2" borderId="55" xfId="0" applyNumberFormat="1" applyFont="1" applyFill="1" applyBorder="1" applyAlignment="1" applyProtection="1">
      <alignment horizontal="center" vertical="center"/>
      <protection locked="0"/>
    </xf>
    <xf numFmtId="180" fontId="13" fillId="2" borderId="37" xfId="0" applyNumberFormat="1" applyFont="1" applyFill="1" applyBorder="1" applyAlignment="1" applyProtection="1">
      <alignment horizontal="center" vertical="center"/>
      <protection locked="0"/>
    </xf>
    <xf numFmtId="184" fontId="13" fillId="2" borderId="56" xfId="0" quotePrefix="1" applyNumberFormat="1" applyFont="1" applyFill="1" applyBorder="1" applyAlignment="1" applyProtection="1">
      <alignment horizontal="center" vertical="center"/>
      <protection locked="0"/>
    </xf>
    <xf numFmtId="184" fontId="13" fillId="2" borderId="46" xfId="0" quotePrefix="1" applyNumberFormat="1" applyFont="1" applyFill="1" applyBorder="1" applyAlignment="1" applyProtection="1">
      <alignment horizontal="center" vertical="center"/>
      <protection locked="0"/>
    </xf>
    <xf numFmtId="180" fontId="0" fillId="2" borderId="45" xfId="0" applyNumberFormat="1" applyFill="1" applyBorder="1" applyAlignment="1">
      <alignment horizontal="center" vertical="center"/>
    </xf>
    <xf numFmtId="180" fontId="0" fillId="2" borderId="46" xfId="0" applyNumberFormat="1" applyFill="1" applyBorder="1" applyAlignment="1">
      <alignment horizontal="center" vertical="center"/>
    </xf>
    <xf numFmtId="184" fontId="13" fillId="2" borderId="45" xfId="0" applyNumberFormat="1" applyFont="1" applyFill="1" applyBorder="1" applyAlignment="1" applyProtection="1">
      <alignment horizontal="center" vertical="center" shrinkToFit="1"/>
      <protection locked="0"/>
    </xf>
    <xf numFmtId="180" fontId="13" fillId="2" borderId="54" xfId="0" applyNumberFormat="1" applyFont="1" applyFill="1" applyBorder="1" applyAlignment="1" applyProtection="1">
      <alignment horizontal="center" vertical="center" wrapText="1"/>
      <protection locked="0"/>
    </xf>
    <xf numFmtId="180" fontId="13" fillId="2" borderId="27" xfId="0" applyNumberFormat="1" applyFont="1" applyFill="1" applyBorder="1" applyAlignment="1" applyProtection="1">
      <alignment horizontal="center" vertical="center" wrapText="1"/>
      <protection locked="0"/>
    </xf>
    <xf numFmtId="0" fontId="3" fillId="0" borderId="32" xfId="0" applyFont="1" applyBorder="1" applyAlignment="1" applyProtection="1">
      <alignment horizontal="center" vertical="center"/>
      <protection locked="0"/>
    </xf>
    <xf numFmtId="0" fontId="3" fillId="0" borderId="13" xfId="0" applyFont="1" applyBorder="1" applyAlignment="1" applyProtection="1">
      <alignment horizontal="center" vertical="center"/>
      <protection locked="0"/>
    </xf>
    <xf numFmtId="0" fontId="22" fillId="4" borderId="45" xfId="0" applyFont="1" applyFill="1" applyBorder="1" applyAlignment="1">
      <alignment horizontal="center" vertical="center" wrapText="1"/>
    </xf>
    <xf numFmtId="0" fontId="22" fillId="4" borderId="46" xfId="0" applyFont="1" applyFill="1" applyBorder="1" applyAlignment="1">
      <alignment horizontal="center" vertical="center"/>
    </xf>
    <xf numFmtId="180" fontId="13" fillId="2" borderId="47" xfId="0" applyNumberFormat="1" applyFont="1" applyFill="1" applyBorder="1" applyAlignment="1" applyProtection="1">
      <alignment horizontal="center" vertical="center"/>
      <protection locked="0"/>
    </xf>
    <xf numFmtId="180" fontId="13" fillId="2" borderId="0" xfId="0" applyNumberFormat="1" applyFont="1" applyFill="1" applyAlignment="1" applyProtection="1">
      <alignment horizontal="center" vertical="center"/>
      <protection locked="0"/>
    </xf>
    <xf numFmtId="180" fontId="13" fillId="2" borderId="36" xfId="0" applyNumberFormat="1" applyFont="1" applyFill="1" applyBorder="1" applyAlignment="1" applyProtection="1">
      <alignment horizontal="center" vertical="center"/>
      <protection locked="0"/>
    </xf>
    <xf numFmtId="0" fontId="1" fillId="0" borderId="45" xfId="0" applyFont="1" applyBorder="1" applyAlignment="1" applyProtection="1">
      <alignment horizontal="center" vertical="center"/>
      <protection locked="0"/>
    </xf>
    <xf numFmtId="0" fontId="1" fillId="0" borderId="47" xfId="0" applyFont="1" applyBorder="1" applyAlignment="1" applyProtection="1">
      <alignment horizontal="center" vertical="center"/>
      <protection locked="0"/>
    </xf>
    <xf numFmtId="184" fontId="13" fillId="2" borderId="45" xfId="0" applyNumberFormat="1" applyFont="1" applyFill="1" applyBorder="1" applyAlignment="1" applyProtection="1">
      <alignment horizontal="center" vertical="center"/>
      <protection locked="0"/>
    </xf>
    <xf numFmtId="184" fontId="13" fillId="2" borderId="46" xfId="0" applyNumberFormat="1" applyFont="1" applyFill="1" applyBorder="1" applyAlignment="1" applyProtection="1">
      <alignment horizontal="center" vertical="center"/>
      <protection locked="0"/>
    </xf>
    <xf numFmtId="180" fontId="13" fillId="2" borderId="46" xfId="0" applyNumberFormat="1" applyFont="1" applyFill="1" applyBorder="1" applyAlignment="1" applyProtection="1">
      <alignment horizontal="center" vertical="center" shrinkToFit="1"/>
      <protection locked="0"/>
    </xf>
    <xf numFmtId="0" fontId="3" fillId="0" borderId="45" xfId="0" applyFont="1" applyBorder="1" applyAlignment="1">
      <alignment horizontal="center" vertical="center"/>
    </xf>
    <xf numFmtId="0" fontId="3" fillId="0" borderId="47" xfId="0" applyFont="1" applyBorder="1" applyAlignment="1">
      <alignment horizontal="center" vertical="center"/>
    </xf>
    <xf numFmtId="0" fontId="2" fillId="0" borderId="47" xfId="0" applyFont="1" applyBorder="1" applyAlignment="1" applyProtection="1">
      <alignment horizontal="center" vertical="center"/>
      <protection locked="0"/>
    </xf>
    <xf numFmtId="0" fontId="10" fillId="5" borderId="16" xfId="0" applyFont="1" applyFill="1" applyBorder="1" applyAlignment="1" applyProtection="1">
      <alignment horizontal="center" vertical="center"/>
      <protection locked="0"/>
    </xf>
    <xf numFmtId="180" fontId="15" fillId="2" borderId="37" xfId="0" applyNumberFormat="1" applyFont="1" applyFill="1" applyBorder="1" applyAlignment="1" applyProtection="1">
      <alignment horizontal="center" vertical="center"/>
      <protection locked="0"/>
    </xf>
    <xf numFmtId="180" fontId="15" fillId="2" borderId="27" xfId="0" applyNumberFormat="1" applyFont="1" applyFill="1" applyBorder="1" applyAlignment="1" applyProtection="1">
      <alignment horizontal="center" vertical="center"/>
      <protection locked="0"/>
    </xf>
    <xf numFmtId="0" fontId="13" fillId="2" borderId="54" xfId="0" applyFont="1" applyFill="1" applyBorder="1" applyAlignment="1" applyProtection="1">
      <alignment horizontal="center" vertical="center"/>
      <protection locked="0"/>
    </xf>
    <xf numFmtId="0" fontId="13" fillId="2" borderId="27" xfId="0" applyFont="1" applyFill="1" applyBorder="1" applyAlignment="1" applyProtection="1">
      <alignment horizontal="center" vertical="center"/>
      <protection locked="0"/>
    </xf>
    <xf numFmtId="0" fontId="0" fillId="0" borderId="45" xfId="0" applyBorder="1" applyAlignment="1" applyProtection="1">
      <alignment horizontal="center" vertical="center"/>
      <protection locked="0"/>
    </xf>
    <xf numFmtId="0" fontId="0" fillId="0" borderId="45" xfId="0" applyBorder="1" applyAlignment="1">
      <alignment horizontal="center" vertical="center"/>
    </xf>
    <xf numFmtId="0" fontId="0" fillId="0" borderId="47" xfId="0" applyBorder="1" applyAlignment="1">
      <alignment horizontal="center" vertical="center"/>
    </xf>
    <xf numFmtId="0" fontId="13" fillId="0" borderId="31" xfId="0" applyFont="1" applyBorder="1" applyProtection="1">
      <protection locked="0"/>
    </xf>
    <xf numFmtId="0" fontId="26" fillId="0" borderId="47" xfId="0" applyFont="1" applyBorder="1" applyAlignment="1">
      <alignment horizontal="left" vertical="center" shrinkToFit="1"/>
    </xf>
    <xf numFmtId="0" fontId="26" fillId="0" borderId="46" xfId="0" applyFont="1" applyBorder="1" applyAlignment="1">
      <alignment horizontal="left" vertical="center" shrinkToFit="1"/>
    </xf>
    <xf numFmtId="174" fontId="11" fillId="7" borderId="20" xfId="0" applyNumberFormat="1" applyFont="1" applyFill="1" applyBorder="1" applyAlignment="1">
      <alignment horizontal="left" vertical="center"/>
    </xf>
    <xf numFmtId="174" fontId="11" fillId="7" borderId="13" xfId="0" applyNumberFormat="1" applyFont="1" applyFill="1" applyBorder="1" applyAlignment="1">
      <alignment horizontal="left" vertical="center"/>
    </xf>
    <xf numFmtId="179" fontId="9" fillId="2" borderId="30" xfId="0" applyNumberFormat="1" applyFont="1" applyFill="1" applyBorder="1" applyAlignment="1" applyProtection="1">
      <alignment horizontal="center" vertical="center"/>
      <protection locked="0"/>
    </xf>
    <xf numFmtId="179" fontId="9" fillId="2" borderId="10" xfId="0" applyNumberFormat="1" applyFont="1" applyFill="1" applyBorder="1" applyAlignment="1" applyProtection="1">
      <alignment horizontal="center" vertical="center"/>
      <protection locked="0"/>
    </xf>
    <xf numFmtId="0" fontId="13" fillId="10" borderId="3" xfId="0" applyFont="1" applyFill="1" applyBorder="1" applyAlignment="1">
      <alignment horizontal="center" vertical="center"/>
    </xf>
    <xf numFmtId="0" fontId="13" fillId="10" borderId="12" xfId="0" applyFont="1" applyFill="1" applyBorder="1" applyAlignment="1">
      <alignment horizontal="center" vertical="center"/>
    </xf>
    <xf numFmtId="177" fontId="13" fillId="0" borderId="3" xfId="0" applyNumberFormat="1" applyFont="1" applyBorder="1" applyAlignment="1" applyProtection="1">
      <alignment horizontal="center" vertical="center" wrapText="1"/>
      <protection locked="0"/>
    </xf>
    <xf numFmtId="0" fontId="13" fillId="0" borderId="12" xfId="0" applyFont="1" applyBorder="1" applyAlignment="1" applyProtection="1">
      <alignment wrapText="1"/>
      <protection locked="0"/>
    </xf>
    <xf numFmtId="0" fontId="1" fillId="0" borderId="2" xfId="0" applyFont="1" applyBorder="1" applyAlignment="1">
      <alignment horizontal="left" vertical="center"/>
    </xf>
    <xf numFmtId="1" fontId="13" fillId="7" borderId="3" xfId="0" applyNumberFormat="1" applyFont="1" applyFill="1" applyBorder="1" applyAlignment="1" applyProtection="1">
      <alignment horizontal="center" vertical="center"/>
      <protection locked="0"/>
    </xf>
    <xf numFmtId="1" fontId="13" fillId="7" borderId="12" xfId="0" applyNumberFormat="1" applyFont="1" applyFill="1" applyBorder="1" applyAlignment="1" applyProtection="1">
      <alignment horizontal="center" vertical="center"/>
      <protection locked="0"/>
    </xf>
    <xf numFmtId="177" fontId="10" fillId="5" borderId="1" xfId="0" applyNumberFormat="1" applyFont="1" applyFill="1" applyBorder="1" applyAlignment="1" applyProtection="1">
      <alignment horizontal="center" vertical="center"/>
      <protection locked="0"/>
    </xf>
    <xf numFmtId="177" fontId="10" fillId="5" borderId="9" xfId="0" applyNumberFormat="1" applyFont="1" applyFill="1" applyBorder="1" applyAlignment="1" applyProtection="1">
      <alignment horizontal="center" vertical="center"/>
      <protection locked="0"/>
    </xf>
    <xf numFmtId="187" fontId="8" fillId="2" borderId="30" xfId="0" applyNumberFormat="1" applyFont="1" applyFill="1" applyBorder="1" applyAlignment="1" applyProtection="1">
      <alignment horizontal="center" vertical="center"/>
      <protection locked="0"/>
    </xf>
    <xf numFmtId="187" fontId="8" fillId="2" borderId="10" xfId="0" applyNumberFormat="1" applyFont="1" applyFill="1" applyBorder="1" applyAlignment="1" applyProtection="1">
      <alignment horizontal="center" vertical="center"/>
      <protection locked="0"/>
    </xf>
    <xf numFmtId="186" fontId="8" fillId="2" borderId="30" xfId="0" applyNumberFormat="1" applyFont="1" applyFill="1" applyBorder="1" applyAlignment="1" applyProtection="1">
      <alignment horizontal="center" vertical="center"/>
      <protection locked="0"/>
    </xf>
    <xf numFmtId="186" fontId="8" fillId="2" borderId="10" xfId="0" applyNumberFormat="1" applyFont="1" applyFill="1" applyBorder="1" applyAlignment="1" applyProtection="1">
      <alignment horizontal="center" vertical="center"/>
      <protection locked="0"/>
    </xf>
    <xf numFmtId="0" fontId="1" fillId="0" borderId="1" xfId="0" applyFont="1" applyBorder="1" applyAlignment="1">
      <alignment horizontal="left" vertical="top"/>
    </xf>
    <xf numFmtId="0" fontId="1" fillId="0" borderId="2" xfId="0" applyFont="1" applyBorder="1" applyAlignment="1">
      <alignment horizontal="left" vertical="top"/>
    </xf>
    <xf numFmtId="177" fontId="13" fillId="10" borderId="68" xfId="0" applyNumberFormat="1" applyFont="1" applyFill="1" applyBorder="1" applyAlignment="1">
      <alignment horizontal="center" vertical="center"/>
    </xf>
    <xf numFmtId="177" fontId="13" fillId="10" borderId="69" xfId="0" applyNumberFormat="1" applyFont="1" applyFill="1" applyBorder="1" applyAlignment="1">
      <alignment horizontal="center" vertical="center"/>
    </xf>
    <xf numFmtId="177" fontId="13" fillId="4" borderId="68" xfId="0" applyNumberFormat="1" applyFont="1" applyFill="1" applyBorder="1" applyAlignment="1" applyProtection="1">
      <alignment horizontal="center" vertical="center"/>
      <protection locked="0"/>
    </xf>
    <xf numFmtId="177" fontId="13" fillId="4" borderId="69" xfId="0" applyNumberFormat="1" applyFont="1" applyFill="1" applyBorder="1" applyAlignment="1" applyProtection="1">
      <alignment horizontal="center" vertical="center"/>
      <protection locked="0"/>
    </xf>
    <xf numFmtId="179" fontId="6" fillId="2" borderId="30" xfId="0" applyNumberFormat="1" applyFont="1" applyFill="1" applyBorder="1" applyAlignment="1" applyProtection="1">
      <alignment horizontal="center" vertical="center"/>
      <protection locked="0"/>
    </xf>
    <xf numFmtId="179" fontId="27" fillId="2" borderId="45" xfId="0" applyNumberFormat="1" applyFont="1" applyFill="1" applyBorder="1" applyAlignment="1" applyProtection="1">
      <alignment horizontal="center" vertical="center"/>
      <protection locked="0"/>
    </xf>
    <xf numFmtId="179" fontId="27" fillId="2" borderId="47" xfId="0" applyNumberFormat="1" applyFont="1" applyFill="1" applyBorder="1" applyAlignment="1" applyProtection="1">
      <alignment horizontal="center" vertical="center"/>
      <protection locked="0"/>
    </xf>
    <xf numFmtId="179" fontId="27" fillId="2" borderId="46" xfId="0" applyNumberFormat="1" applyFont="1" applyFill="1" applyBorder="1" applyAlignment="1" applyProtection="1">
      <alignment horizontal="center" vertical="center"/>
      <protection locked="0"/>
    </xf>
    <xf numFmtId="0" fontId="14" fillId="0" borderId="71" xfId="0" applyFont="1" applyBorder="1" applyAlignment="1">
      <alignment horizontal="center" vertical="center"/>
    </xf>
    <xf numFmtId="0" fontId="14" fillId="0" borderId="58" xfId="0" applyFont="1" applyBorder="1" applyAlignment="1">
      <alignment horizontal="center" vertical="center"/>
    </xf>
    <xf numFmtId="0" fontId="14" fillId="0" borderId="18" xfId="0" applyFont="1" applyBorder="1" applyAlignment="1">
      <alignment horizontal="center" vertical="center"/>
    </xf>
    <xf numFmtId="0" fontId="11" fillId="0" borderId="19" xfId="0" applyFont="1" applyBorder="1" applyAlignment="1">
      <alignment horizontal="left" vertical="center"/>
    </xf>
    <xf numFmtId="0" fontId="11" fillId="0" borderId="2" xfId="0" applyFont="1" applyBorder="1" applyAlignment="1">
      <alignment horizontal="left" vertical="center"/>
    </xf>
    <xf numFmtId="0" fontId="13" fillId="12" borderId="1" xfId="0" applyFont="1" applyFill="1" applyBorder="1" applyAlignment="1" applyProtection="1">
      <alignment horizontal="center" vertical="center" wrapText="1"/>
      <protection locked="0"/>
    </xf>
    <xf numFmtId="0" fontId="13" fillId="12" borderId="2" xfId="0" applyFont="1" applyFill="1" applyBorder="1" applyAlignment="1" applyProtection="1">
      <alignment horizontal="center" vertical="center" wrapText="1"/>
      <protection locked="0"/>
    </xf>
    <xf numFmtId="0" fontId="13" fillId="12" borderId="9" xfId="0" applyFont="1" applyFill="1" applyBorder="1" applyAlignment="1" applyProtection="1">
      <alignment horizontal="center" vertical="center" wrapText="1"/>
      <protection locked="0"/>
    </xf>
    <xf numFmtId="0" fontId="13" fillId="12" borderId="10" xfId="0" applyFont="1" applyFill="1" applyBorder="1" applyAlignment="1" applyProtection="1">
      <alignment horizontal="center" vertical="center" wrapText="1"/>
      <protection locked="0"/>
    </xf>
    <xf numFmtId="0" fontId="3" fillId="10" borderId="0" xfId="0" applyFont="1" applyFill="1" applyAlignment="1">
      <alignment horizontal="center" vertical="center"/>
    </xf>
    <xf numFmtId="0" fontId="28" fillId="0" borderId="3" xfId="0" applyFont="1" applyBorder="1" applyAlignment="1">
      <alignment horizontal="center" vertical="center" wrapText="1"/>
    </xf>
    <xf numFmtId="0" fontId="28" fillId="0" borderId="12" xfId="0" applyFont="1" applyBorder="1" applyAlignment="1">
      <alignment horizontal="center" vertical="center" wrapText="1"/>
    </xf>
    <xf numFmtId="179" fontId="14" fillId="10" borderId="32" xfId="0" applyNumberFormat="1" applyFont="1" applyFill="1" applyBorder="1" applyAlignment="1">
      <alignment horizontal="center" vertical="center" wrapText="1"/>
    </xf>
    <xf numFmtId="179" fontId="14" fillId="10" borderId="33" xfId="0" applyNumberFormat="1" applyFont="1" applyFill="1" applyBorder="1" applyAlignment="1">
      <alignment horizontal="center" vertical="center" wrapText="1"/>
    </xf>
    <xf numFmtId="179" fontId="14" fillId="10" borderId="30" xfId="0" applyNumberFormat="1" applyFont="1" applyFill="1" applyBorder="1" applyAlignment="1">
      <alignment horizontal="center" vertical="center" wrapText="1"/>
    </xf>
    <xf numFmtId="179" fontId="14" fillId="10" borderId="10" xfId="0" applyNumberFormat="1" applyFont="1" applyFill="1" applyBorder="1" applyAlignment="1">
      <alignment horizontal="center" vertical="center" wrapText="1"/>
    </xf>
    <xf numFmtId="0" fontId="8" fillId="10" borderId="35" xfId="0" applyFont="1" applyFill="1" applyBorder="1" applyAlignment="1">
      <alignment horizontal="center" vertical="center"/>
    </xf>
    <xf numFmtId="0" fontId="8" fillId="10" borderId="12" xfId="0" applyFont="1" applyFill="1" applyBorder="1" applyAlignment="1">
      <alignment horizontal="center" vertical="center"/>
    </xf>
    <xf numFmtId="0" fontId="8" fillId="4" borderId="45" xfId="0" applyFont="1" applyFill="1" applyBorder="1" applyAlignment="1">
      <alignment horizontal="center" vertical="center" wrapText="1" shrinkToFit="1"/>
    </xf>
    <xf numFmtId="0" fontId="8" fillId="4" borderId="47" xfId="0" applyFont="1" applyFill="1" applyBorder="1" applyAlignment="1">
      <alignment horizontal="center" vertical="center" wrapText="1" shrinkToFit="1"/>
    </xf>
    <xf numFmtId="0" fontId="8" fillId="4" borderId="46" xfId="0" applyFont="1" applyFill="1" applyBorder="1" applyAlignment="1">
      <alignment horizontal="center" vertical="center" wrapText="1" shrinkToFit="1"/>
    </xf>
    <xf numFmtId="0" fontId="6" fillId="2" borderId="45" xfId="0" applyFont="1" applyFill="1" applyBorder="1" applyAlignment="1" applyProtection="1">
      <alignment horizontal="center" vertical="center" shrinkToFit="1"/>
      <protection locked="0"/>
    </xf>
    <xf numFmtId="0" fontId="6" fillId="2" borderId="47" xfId="0" applyFont="1" applyFill="1" applyBorder="1" applyAlignment="1" applyProtection="1">
      <alignment horizontal="center" vertical="center" shrinkToFit="1"/>
      <protection locked="0"/>
    </xf>
    <xf numFmtId="180" fontId="22" fillId="0" borderId="45" xfId="0" applyNumberFormat="1" applyFont="1" applyBorder="1" applyAlignment="1">
      <alignment horizontal="center" vertical="center" wrapText="1"/>
    </xf>
    <xf numFmtId="180" fontId="22" fillId="0" borderId="46" xfId="0" applyNumberFormat="1" applyFont="1" applyBorder="1" applyAlignment="1">
      <alignment horizontal="center" vertical="center"/>
    </xf>
    <xf numFmtId="0" fontId="13" fillId="2" borderId="37" xfId="0" applyFont="1" applyFill="1" applyBorder="1" applyAlignment="1" applyProtection="1">
      <alignment horizontal="center" vertical="center"/>
      <protection locked="0"/>
    </xf>
    <xf numFmtId="171" fontId="8" fillId="2" borderId="0" xfId="0" applyNumberFormat="1" applyFont="1" applyFill="1" applyAlignment="1" applyProtection="1">
      <alignment horizontal="center" vertical="center"/>
      <protection locked="0"/>
    </xf>
    <xf numFmtId="171" fontId="8" fillId="2" borderId="36" xfId="0" applyNumberFormat="1" applyFont="1" applyFill="1" applyBorder="1" applyAlignment="1" applyProtection="1">
      <alignment horizontal="center" vertical="center"/>
      <protection locked="0"/>
    </xf>
    <xf numFmtId="0" fontId="13" fillId="0" borderId="37" xfId="0" applyFont="1" applyBorder="1" applyAlignment="1">
      <alignment horizontal="left" vertical="center" wrapText="1" shrinkToFit="1"/>
    </xf>
    <xf numFmtId="0" fontId="8" fillId="2" borderId="45" xfId="0" applyFont="1" applyFill="1" applyBorder="1" applyAlignment="1" applyProtection="1">
      <alignment horizontal="center" vertical="center"/>
      <protection locked="0"/>
    </xf>
    <xf numFmtId="0" fontId="8" fillId="2" borderId="46" xfId="0" applyFont="1" applyFill="1" applyBorder="1" applyAlignment="1" applyProtection="1">
      <alignment horizontal="center" vertical="center"/>
      <protection locked="0"/>
    </xf>
    <xf numFmtId="180" fontId="8" fillId="0" borderId="45" xfId="0" applyNumberFormat="1" applyFont="1" applyBorder="1" applyAlignment="1">
      <alignment horizontal="center" vertical="center"/>
    </xf>
    <xf numFmtId="180" fontId="8" fillId="0" borderId="46" xfId="0" applyNumberFormat="1" applyFont="1" applyBorder="1" applyAlignment="1">
      <alignment horizontal="center" vertical="center"/>
    </xf>
    <xf numFmtId="0" fontId="13" fillId="2" borderId="37" xfId="0" applyFont="1" applyFill="1" applyBorder="1" applyAlignment="1" applyProtection="1">
      <alignment horizontal="left" vertical="top" wrapText="1" shrinkToFit="1"/>
      <protection locked="0"/>
    </xf>
    <xf numFmtId="0" fontId="13" fillId="2" borderId="27" xfId="0" applyFont="1" applyFill="1" applyBorder="1" applyAlignment="1" applyProtection="1">
      <alignment horizontal="left" vertical="top" wrapText="1" shrinkToFit="1"/>
      <protection locked="0"/>
    </xf>
    <xf numFmtId="0" fontId="13" fillId="0" borderId="45" xfId="0" applyFont="1" applyBorder="1" applyAlignment="1" applyProtection="1">
      <alignment horizontal="center" vertical="center" wrapText="1"/>
      <protection locked="0"/>
    </xf>
    <xf numFmtId="0" fontId="13" fillId="0" borderId="46" xfId="0" applyFont="1" applyBorder="1" applyAlignment="1" applyProtection="1">
      <alignment horizontal="center" vertical="center" wrapText="1"/>
      <protection locked="0"/>
    </xf>
    <xf numFmtId="176" fontId="8" fillId="2" borderId="32" xfId="0" applyNumberFormat="1" applyFont="1" applyFill="1" applyBorder="1" applyAlignment="1" applyProtection="1">
      <alignment horizontal="center" vertical="center"/>
      <protection locked="0"/>
    </xf>
    <xf numFmtId="176" fontId="8" fillId="2" borderId="13" xfId="0" applyNumberFormat="1" applyFont="1" applyFill="1" applyBorder="1" applyAlignment="1" applyProtection="1">
      <alignment horizontal="center" vertical="center"/>
      <protection locked="0"/>
    </xf>
    <xf numFmtId="0" fontId="9" fillId="2" borderId="45" xfId="0" applyFont="1" applyFill="1" applyBorder="1" applyAlignment="1">
      <alignment horizontal="center" vertical="center"/>
    </xf>
    <xf numFmtId="0" fontId="9" fillId="2" borderId="47" xfId="0" applyFont="1" applyFill="1" applyBorder="1" applyAlignment="1">
      <alignment horizontal="center" vertical="center"/>
    </xf>
    <xf numFmtId="0" fontId="13" fillId="0" borderId="3" xfId="0" applyFont="1" applyBorder="1" applyAlignment="1" applyProtection="1">
      <alignment horizontal="center" vertical="center" wrapText="1"/>
      <protection locked="0"/>
    </xf>
    <xf numFmtId="0" fontId="13" fillId="0" borderId="12" xfId="0" applyFont="1" applyBorder="1" applyAlignment="1" applyProtection="1">
      <alignment horizontal="center" vertical="center" wrapText="1"/>
      <protection locked="0"/>
    </xf>
    <xf numFmtId="174" fontId="3" fillId="2" borderId="37" xfId="0" applyNumberFormat="1" applyFont="1" applyFill="1" applyBorder="1" applyAlignment="1" applyProtection="1">
      <alignment horizontal="left" vertical="top" wrapText="1"/>
      <protection locked="0"/>
    </xf>
    <xf numFmtId="174" fontId="3" fillId="2" borderId="27" xfId="0" applyNumberFormat="1" applyFont="1" applyFill="1" applyBorder="1" applyAlignment="1" applyProtection="1">
      <alignment horizontal="left" vertical="top" wrapText="1"/>
      <protection locked="0"/>
    </xf>
    <xf numFmtId="0" fontId="11" fillId="0" borderId="41" xfId="0" applyFont="1" applyBorder="1" applyAlignment="1">
      <alignment horizontal="left" vertical="center"/>
    </xf>
    <xf numFmtId="0" fontId="11" fillId="0" borderId="36" xfId="0" applyFont="1" applyBorder="1" applyAlignment="1">
      <alignment horizontal="left" vertical="center"/>
    </xf>
    <xf numFmtId="0" fontId="8" fillId="2" borderId="30" xfId="0" applyFont="1" applyFill="1" applyBorder="1" applyAlignment="1" applyProtection="1">
      <alignment horizontal="center" vertical="center"/>
      <protection locked="0"/>
    </xf>
    <xf numFmtId="0" fontId="8" fillId="2" borderId="10" xfId="0" applyFont="1" applyFill="1" applyBorder="1" applyAlignment="1" applyProtection="1">
      <alignment horizontal="center" vertical="center"/>
      <protection locked="0"/>
    </xf>
    <xf numFmtId="174" fontId="3" fillId="11" borderId="45" xfId="0" applyNumberFormat="1" applyFont="1" applyFill="1" applyBorder="1" applyAlignment="1" applyProtection="1">
      <alignment horizontal="center" vertical="center"/>
      <protection locked="0"/>
    </xf>
    <xf numFmtId="174" fontId="7" fillId="11" borderId="47" xfId="0" applyNumberFormat="1" applyFont="1" applyFill="1" applyBorder="1" applyAlignment="1" applyProtection="1">
      <alignment horizontal="center" vertical="center"/>
      <protection locked="0"/>
    </xf>
    <xf numFmtId="174" fontId="11" fillId="2" borderId="1" xfId="0" applyNumberFormat="1" applyFont="1" applyFill="1" applyBorder="1" applyAlignment="1" applyProtection="1">
      <alignment horizontal="center" vertical="center" wrapText="1"/>
      <protection locked="0"/>
    </xf>
    <xf numFmtId="174" fontId="11" fillId="2" borderId="8" xfId="0" applyNumberFormat="1" applyFont="1" applyFill="1" applyBorder="1" applyAlignment="1" applyProtection="1">
      <alignment horizontal="center" vertical="center" wrapText="1"/>
      <protection locked="0"/>
    </xf>
    <xf numFmtId="174" fontId="11" fillId="2" borderId="16" xfId="0" applyNumberFormat="1" applyFont="1" applyFill="1" applyBorder="1" applyAlignment="1" applyProtection="1">
      <alignment horizontal="center" vertical="center" wrapText="1"/>
      <protection locked="0"/>
    </xf>
    <xf numFmtId="174" fontId="11" fillId="2" borderId="0" xfId="0" applyNumberFormat="1" applyFont="1" applyFill="1" applyAlignment="1" applyProtection="1">
      <alignment horizontal="center" vertical="center" wrapText="1"/>
      <protection locked="0"/>
    </xf>
    <xf numFmtId="174" fontId="11" fillId="2" borderId="9" xfId="0" applyNumberFormat="1" applyFont="1" applyFill="1" applyBorder="1" applyAlignment="1" applyProtection="1">
      <alignment horizontal="center" vertical="center" wrapText="1"/>
      <protection locked="0"/>
    </xf>
    <xf numFmtId="174" fontId="11" fillId="2" borderId="11" xfId="0" applyNumberFormat="1" applyFont="1" applyFill="1" applyBorder="1" applyAlignment="1" applyProtection="1">
      <alignment horizontal="center" vertical="center" wrapText="1"/>
      <protection locked="0"/>
    </xf>
    <xf numFmtId="170" fontId="7" fillId="2" borderId="45" xfId="0" applyNumberFormat="1" applyFont="1" applyFill="1" applyBorder="1" applyAlignment="1" applyProtection="1">
      <alignment horizontal="center" vertical="center"/>
      <protection locked="0"/>
    </xf>
    <xf numFmtId="170" fontId="7" fillId="2" borderId="46" xfId="0" applyNumberFormat="1" applyFont="1" applyFill="1" applyBorder="1" applyAlignment="1" applyProtection="1">
      <alignment horizontal="center" vertical="center"/>
      <protection locked="0"/>
    </xf>
    <xf numFmtId="174" fontId="8" fillId="2" borderId="45" xfId="0" quotePrefix="1" applyNumberFormat="1" applyFont="1" applyFill="1" applyBorder="1" applyAlignment="1" applyProtection="1">
      <alignment horizontal="center" vertical="center"/>
      <protection locked="0"/>
    </xf>
    <xf numFmtId="174" fontId="8" fillId="2" borderId="46" xfId="0" applyNumberFormat="1" applyFont="1" applyFill="1" applyBorder="1" applyAlignment="1" applyProtection="1">
      <alignment horizontal="center" vertical="center"/>
      <protection locked="0"/>
    </xf>
    <xf numFmtId="174" fontId="8" fillId="2" borderId="45" xfId="0" applyNumberFormat="1" applyFont="1" applyFill="1" applyBorder="1" applyAlignment="1" applyProtection="1">
      <alignment horizontal="center" vertical="center"/>
      <protection locked="0"/>
    </xf>
    <xf numFmtId="165" fontId="7" fillId="2" borderId="9" xfId="0" applyNumberFormat="1" applyFont="1" applyFill="1" applyBorder="1" applyAlignment="1" applyProtection="1">
      <alignment horizontal="center" vertical="center"/>
      <protection locked="0"/>
    </xf>
    <xf numFmtId="165" fontId="7" fillId="2" borderId="10" xfId="0" applyNumberFormat="1" applyFont="1" applyFill="1" applyBorder="1" applyAlignment="1" applyProtection="1">
      <alignment horizontal="center" vertical="center"/>
      <protection locked="0"/>
    </xf>
    <xf numFmtId="0" fontId="8" fillId="0" borderId="32" xfId="0" applyFont="1" applyBorder="1" applyAlignment="1">
      <alignment horizontal="center" vertical="center" wrapText="1" shrinkToFit="1"/>
    </xf>
    <xf numFmtId="0" fontId="8" fillId="0" borderId="29" xfId="0" applyFont="1" applyBorder="1" applyAlignment="1">
      <alignment horizontal="center" vertical="center" wrapText="1" shrinkToFit="1"/>
    </xf>
    <xf numFmtId="180" fontId="8" fillId="0" borderId="37" xfId="0" applyNumberFormat="1" applyFont="1" applyBorder="1" applyAlignment="1">
      <alignment horizontal="center" vertical="center"/>
    </xf>
    <xf numFmtId="180" fontId="8" fillId="0" borderId="28" xfId="0" applyNumberFormat="1" applyFont="1" applyBorder="1" applyAlignment="1">
      <alignment horizontal="center" vertical="center"/>
    </xf>
    <xf numFmtId="1" fontId="13" fillId="12" borderId="37" xfId="0" applyNumberFormat="1" applyFont="1" applyFill="1" applyBorder="1" applyAlignment="1" applyProtection="1">
      <alignment horizontal="center" vertical="center"/>
      <protection locked="0"/>
    </xf>
    <xf numFmtId="1" fontId="13" fillId="12" borderId="27" xfId="0" applyNumberFormat="1" applyFont="1" applyFill="1" applyBorder="1" applyAlignment="1" applyProtection="1">
      <alignment horizontal="center" vertical="center"/>
      <protection locked="0"/>
    </xf>
    <xf numFmtId="1" fontId="8" fillId="2" borderId="37" xfId="0" applyNumberFormat="1" applyFont="1" applyFill="1" applyBorder="1" applyAlignment="1" applyProtection="1">
      <alignment horizontal="center" vertical="center"/>
      <protection locked="0"/>
    </xf>
    <xf numFmtId="1" fontId="8" fillId="2" borderId="27" xfId="0" applyNumberFormat="1" applyFont="1" applyFill="1" applyBorder="1" applyAlignment="1" applyProtection="1">
      <alignment horizontal="center" vertical="center"/>
      <protection locked="0"/>
    </xf>
    <xf numFmtId="0" fontId="13" fillId="0" borderId="45" xfId="0" applyFont="1" applyBorder="1" applyAlignment="1">
      <alignment horizontal="left" vertical="center" wrapText="1"/>
    </xf>
    <xf numFmtId="0" fontId="13" fillId="0" borderId="47" xfId="0" applyFont="1" applyBorder="1" applyAlignment="1">
      <alignment horizontal="left" vertical="center" wrapText="1"/>
    </xf>
    <xf numFmtId="0" fontId="13" fillId="0" borderId="46" xfId="0" applyFont="1" applyBorder="1" applyAlignment="1">
      <alignment horizontal="left" vertical="center" wrapText="1"/>
    </xf>
    <xf numFmtId="183" fontId="7" fillId="2" borderId="45" xfId="0" applyNumberFormat="1" applyFont="1" applyFill="1" applyBorder="1" applyAlignment="1">
      <alignment horizontal="center" vertical="center"/>
    </xf>
    <xf numFmtId="183" fontId="7" fillId="2" borderId="46" xfId="0" applyNumberFormat="1" applyFont="1" applyFill="1" applyBorder="1" applyAlignment="1">
      <alignment horizontal="center" vertical="center"/>
    </xf>
    <xf numFmtId="1" fontId="13" fillId="2" borderId="37" xfId="0" applyNumberFormat="1" applyFont="1" applyFill="1" applyBorder="1" applyAlignment="1" applyProtection="1">
      <alignment horizontal="center" vertical="center"/>
      <protection locked="0"/>
    </xf>
    <xf numFmtId="1" fontId="13" fillId="2" borderId="27" xfId="0" applyNumberFormat="1" applyFont="1" applyFill="1" applyBorder="1" applyAlignment="1" applyProtection="1">
      <alignment horizontal="center" vertical="center"/>
      <protection locked="0"/>
    </xf>
    <xf numFmtId="0" fontId="25" fillId="7" borderId="45" xfId="0" applyFont="1" applyFill="1" applyBorder="1" applyAlignment="1" applyProtection="1">
      <alignment vertical="center"/>
      <protection locked="0"/>
    </xf>
    <xf numFmtId="0" fontId="0" fillId="0" borderId="47" xfId="0" applyBorder="1" applyAlignment="1" applyProtection="1">
      <alignment vertical="center"/>
      <protection locked="0"/>
    </xf>
    <xf numFmtId="0" fontId="13" fillId="10" borderId="59" xfId="0" applyFont="1" applyFill="1" applyBorder="1" applyAlignment="1">
      <alignment horizontal="center" vertical="center" wrapText="1" shrinkToFit="1"/>
    </xf>
    <xf numFmtId="0" fontId="13" fillId="10" borderId="60" xfId="0" applyFont="1" applyFill="1" applyBorder="1" applyAlignment="1">
      <alignment horizontal="center" vertical="center" wrapText="1" shrinkToFit="1"/>
    </xf>
    <xf numFmtId="0" fontId="3" fillId="0" borderId="37" xfId="0" applyFont="1" applyBorder="1" applyAlignment="1">
      <alignment horizontal="center" vertical="center"/>
    </xf>
    <xf numFmtId="0" fontId="3" fillId="0" borderId="27" xfId="0" applyFont="1" applyBorder="1" applyAlignment="1">
      <alignment horizontal="center" vertical="center"/>
    </xf>
    <xf numFmtId="0" fontId="3" fillId="0" borderId="32" xfId="0" applyFont="1" applyBorder="1" applyAlignment="1">
      <alignment horizontal="center" vertical="center"/>
    </xf>
    <xf numFmtId="0" fontId="3" fillId="0" borderId="13" xfId="0" applyFont="1" applyBorder="1" applyAlignment="1">
      <alignment horizontal="center" vertical="center"/>
    </xf>
    <xf numFmtId="0" fontId="24" fillId="7" borderId="32" xfId="0" applyFont="1" applyFill="1" applyBorder="1" applyAlignment="1">
      <alignment horizontal="left" vertical="center"/>
    </xf>
    <xf numFmtId="0" fontId="25" fillId="7" borderId="46" xfId="0" applyFont="1" applyFill="1" applyBorder="1" applyAlignment="1">
      <alignment horizontal="left" vertical="center"/>
    </xf>
    <xf numFmtId="0" fontId="6" fillId="0" borderId="47" xfId="0" applyFont="1" applyBorder="1" applyAlignment="1">
      <alignment horizontal="left" vertical="center" shrinkToFit="1"/>
    </xf>
    <xf numFmtId="0" fontId="6" fillId="0" borderId="46" xfId="0" applyFont="1" applyBorder="1" applyAlignment="1">
      <alignment horizontal="left" vertical="center" shrinkToFit="1"/>
    </xf>
    <xf numFmtId="181" fontId="13" fillId="2" borderId="54" xfId="0" applyNumberFormat="1" applyFont="1" applyFill="1" applyBorder="1" applyAlignment="1" applyProtection="1">
      <alignment horizontal="center" vertical="center"/>
      <protection locked="0"/>
    </xf>
    <xf numFmtId="0" fontId="13" fillId="2" borderId="31" xfId="0" applyFont="1" applyFill="1" applyBorder="1" applyAlignment="1" applyProtection="1">
      <alignment horizontal="center" vertical="center"/>
      <protection locked="0"/>
    </xf>
    <xf numFmtId="0" fontId="13" fillId="0" borderId="45" xfId="0" applyFont="1" applyBorder="1" applyAlignment="1">
      <alignment horizontal="center" vertical="center" wrapText="1"/>
    </xf>
    <xf numFmtId="0" fontId="13" fillId="0" borderId="46" xfId="0" applyFont="1" applyBorder="1" applyAlignment="1">
      <alignment horizontal="center" vertical="center" wrapText="1"/>
    </xf>
    <xf numFmtId="184" fontId="13" fillId="2" borderId="45" xfId="0" applyNumberFormat="1" applyFont="1" applyFill="1" applyBorder="1" applyAlignment="1">
      <alignment horizontal="center" vertical="center"/>
    </xf>
    <xf numFmtId="184" fontId="13" fillId="2" borderId="46" xfId="0" applyNumberFormat="1" applyFont="1" applyFill="1" applyBorder="1" applyAlignment="1">
      <alignment horizontal="center" vertical="center"/>
    </xf>
    <xf numFmtId="166" fontId="10" fillId="2" borderId="16" xfId="0" applyNumberFormat="1" applyFont="1" applyFill="1" applyBorder="1" applyAlignment="1" applyProtection="1">
      <alignment horizontal="center" vertical="center"/>
      <protection locked="0"/>
    </xf>
    <xf numFmtId="166" fontId="10" fillId="2" borderId="36" xfId="0" applyNumberFormat="1" applyFont="1" applyFill="1" applyBorder="1" applyAlignment="1" applyProtection="1">
      <alignment horizontal="center" vertical="center"/>
      <protection locked="0"/>
    </xf>
    <xf numFmtId="0" fontId="2" fillId="0" borderId="45" xfId="0" quotePrefix="1" applyFont="1" applyBorder="1" applyAlignment="1" applyProtection="1">
      <alignment horizontal="left" vertical="top" wrapText="1"/>
      <protection locked="0"/>
    </xf>
    <xf numFmtId="0" fontId="3" fillId="0" borderId="47" xfId="0" applyFont="1" applyBorder="1" applyAlignment="1" applyProtection="1">
      <alignment horizontal="left" vertical="top"/>
      <protection locked="0"/>
    </xf>
    <xf numFmtId="180" fontId="13" fillId="2" borderId="47" xfId="0" applyNumberFormat="1" applyFont="1" applyFill="1" applyBorder="1" applyAlignment="1">
      <alignment horizontal="center" vertical="center"/>
    </xf>
    <xf numFmtId="0" fontId="13" fillId="0" borderId="32" xfId="0" applyFont="1" applyBorder="1" applyAlignment="1">
      <alignment horizontal="left" vertical="center" shrinkToFit="1"/>
    </xf>
    <xf numFmtId="0" fontId="13" fillId="0" borderId="13" xfId="0" applyFont="1" applyBorder="1" applyAlignment="1">
      <alignment horizontal="left" vertical="center" shrinkToFit="1"/>
    </xf>
    <xf numFmtId="0" fontId="13" fillId="0" borderId="29" xfId="0" applyFont="1" applyBorder="1" applyAlignment="1">
      <alignment horizontal="left" vertical="center" shrinkToFit="1"/>
    </xf>
    <xf numFmtId="0" fontId="13" fillId="0" borderId="28" xfId="0" applyFont="1" applyBorder="1" applyAlignment="1">
      <alignment horizontal="left" vertical="center" shrinkToFit="1"/>
    </xf>
    <xf numFmtId="180" fontId="13" fillId="2" borderId="32" xfId="0" applyNumberFormat="1" applyFont="1" applyFill="1" applyBorder="1" applyAlignment="1">
      <alignment horizontal="center" vertical="center"/>
    </xf>
    <xf numFmtId="180" fontId="13" fillId="2" borderId="29" xfId="0" applyNumberFormat="1" applyFont="1" applyFill="1" applyBorder="1" applyAlignment="1">
      <alignment horizontal="center" vertical="center"/>
    </xf>
    <xf numFmtId="180" fontId="13" fillId="2" borderId="37" xfId="0" applyNumberFormat="1" applyFont="1" applyFill="1" applyBorder="1" applyAlignment="1">
      <alignment horizontal="center" vertical="center"/>
    </xf>
    <xf numFmtId="180" fontId="13" fillId="2" borderId="27" xfId="0" applyNumberFormat="1" applyFont="1" applyFill="1" applyBorder="1" applyAlignment="1">
      <alignment horizontal="center" vertical="center"/>
    </xf>
    <xf numFmtId="0" fontId="1" fillId="7" borderId="45" xfId="0" applyFont="1" applyFill="1" applyBorder="1" applyAlignment="1" applyProtection="1">
      <alignment horizontal="center" vertical="center" wrapText="1"/>
      <protection locked="0"/>
    </xf>
    <xf numFmtId="0" fontId="3" fillId="7" borderId="47" xfId="0" applyFont="1" applyFill="1" applyBorder="1" applyAlignment="1" applyProtection="1">
      <alignment horizontal="center" vertical="center"/>
      <protection locked="0"/>
    </xf>
    <xf numFmtId="180" fontId="8" fillId="11" borderId="45" xfId="0" applyNumberFormat="1" applyFont="1" applyFill="1" applyBorder="1" applyAlignment="1">
      <alignment horizontal="center" vertical="center" wrapText="1"/>
    </xf>
    <xf numFmtId="180" fontId="8" fillId="11" borderId="46" xfId="0" applyNumberFormat="1" applyFont="1" applyFill="1" applyBorder="1" applyAlignment="1">
      <alignment horizontal="center" vertical="center"/>
    </xf>
    <xf numFmtId="0" fontId="8" fillId="2" borderId="47" xfId="0" applyFont="1" applyFill="1" applyBorder="1" applyAlignment="1" applyProtection="1">
      <alignment horizontal="center" vertical="center"/>
      <protection locked="0"/>
    </xf>
    <xf numFmtId="178" fontId="10" fillId="5" borderId="1" xfId="0" applyNumberFormat="1" applyFont="1" applyFill="1" applyBorder="1" applyAlignment="1" applyProtection="1">
      <alignment horizontal="center" vertical="center"/>
      <protection locked="0"/>
    </xf>
    <xf numFmtId="178" fontId="10" fillId="5" borderId="9" xfId="0" applyNumberFormat="1" applyFont="1" applyFill="1" applyBorder="1" applyAlignment="1" applyProtection="1">
      <alignment horizontal="center" vertical="center"/>
      <protection locked="0"/>
    </xf>
    <xf numFmtId="0" fontId="13" fillId="2" borderId="54" xfId="0" applyFont="1" applyFill="1" applyBorder="1" applyAlignment="1">
      <alignment horizontal="center" vertical="center"/>
    </xf>
    <xf numFmtId="0" fontId="13" fillId="2" borderId="28" xfId="0" applyFont="1" applyFill="1" applyBorder="1" applyAlignment="1">
      <alignment horizontal="center" vertical="center"/>
    </xf>
    <xf numFmtId="0" fontId="13" fillId="2" borderId="45" xfId="0" applyFont="1" applyFill="1" applyBorder="1" applyAlignment="1" applyProtection="1">
      <alignment horizontal="center" vertical="center"/>
      <protection locked="0"/>
    </xf>
    <xf numFmtId="0" fontId="0" fillId="0" borderId="46" xfId="0" applyBorder="1" applyAlignment="1" applyProtection="1">
      <alignment horizontal="center" vertical="center"/>
      <protection locked="0"/>
    </xf>
    <xf numFmtId="0" fontId="0" fillId="0" borderId="37" xfId="0" applyBorder="1" applyAlignment="1" applyProtection="1">
      <alignment horizontal="center" vertical="center"/>
      <protection locked="0"/>
    </xf>
    <xf numFmtId="0" fontId="25" fillId="0" borderId="47" xfId="0" applyFont="1" applyBorder="1" applyAlignment="1">
      <alignment horizontal="left" vertical="center"/>
    </xf>
    <xf numFmtId="0" fontId="11" fillId="7" borderId="19" xfId="0" applyFont="1" applyFill="1" applyBorder="1" applyAlignment="1">
      <alignment horizontal="left" vertical="center"/>
    </xf>
    <xf numFmtId="0" fontId="11" fillId="7" borderId="2" xfId="0" applyFont="1" applyFill="1" applyBorder="1" applyAlignment="1">
      <alignment horizontal="left" vertical="center"/>
    </xf>
    <xf numFmtId="180" fontId="3" fillId="8" borderId="9" xfId="0" applyNumberFormat="1" applyFont="1" applyFill="1" applyBorder="1" applyAlignment="1" applyProtection="1">
      <alignment horizontal="center" vertical="center"/>
      <protection locked="0"/>
    </xf>
    <xf numFmtId="180" fontId="3" fillId="8" borderId="10" xfId="0" applyNumberFormat="1" applyFont="1" applyFill="1" applyBorder="1" applyAlignment="1" applyProtection="1">
      <alignment horizontal="center" vertical="center"/>
      <protection locked="0"/>
    </xf>
    <xf numFmtId="179" fontId="10" fillId="5" borderId="1" xfId="0" applyNumberFormat="1" applyFont="1" applyFill="1" applyBorder="1" applyAlignment="1" applyProtection="1">
      <alignment horizontal="center" vertical="center"/>
      <protection locked="0"/>
    </xf>
    <xf numFmtId="179" fontId="10" fillId="5" borderId="9" xfId="0" applyNumberFormat="1" applyFont="1" applyFill="1" applyBorder="1" applyAlignment="1" applyProtection="1">
      <alignment horizontal="center" vertical="center"/>
      <protection locked="0"/>
    </xf>
    <xf numFmtId="0" fontId="3" fillId="2" borderId="41" xfId="0" applyFont="1" applyFill="1" applyBorder="1" applyAlignment="1" applyProtection="1">
      <alignment horizontal="center" vertical="top" wrapText="1"/>
      <protection locked="0"/>
    </xf>
    <xf numFmtId="0" fontId="3" fillId="2" borderId="36" xfId="0" applyFont="1" applyFill="1" applyBorder="1" applyAlignment="1" applyProtection="1">
      <alignment horizontal="center" vertical="top" wrapText="1"/>
      <protection locked="0"/>
    </xf>
    <xf numFmtId="0" fontId="3" fillId="2" borderId="30" xfId="0" applyFont="1" applyFill="1" applyBorder="1" applyAlignment="1" applyProtection="1">
      <alignment horizontal="center" vertical="top" wrapText="1"/>
      <protection locked="0"/>
    </xf>
    <xf numFmtId="0" fontId="3" fillId="2" borderId="10" xfId="0" applyFont="1" applyFill="1" applyBorder="1" applyAlignment="1" applyProtection="1">
      <alignment horizontal="center" vertical="top" wrapText="1"/>
      <protection locked="0"/>
    </xf>
    <xf numFmtId="0" fontId="14" fillId="0" borderId="45" xfId="0" applyFont="1" applyBorder="1" applyAlignment="1" applyProtection="1">
      <alignment horizontal="left" vertical="center" wrapText="1" shrinkToFit="1"/>
      <protection locked="0"/>
    </xf>
    <xf numFmtId="0" fontId="6" fillId="0" borderId="47" xfId="0" applyFont="1" applyBorder="1" applyAlignment="1" applyProtection="1">
      <alignment horizontal="left" vertical="center" wrapText="1" shrinkToFit="1"/>
      <protection locked="0"/>
    </xf>
    <xf numFmtId="174" fontId="11" fillId="7" borderId="33" xfId="0" applyNumberFormat="1" applyFont="1" applyFill="1" applyBorder="1" applyAlignment="1">
      <alignment horizontal="left" vertical="center"/>
    </xf>
    <xf numFmtId="0" fontId="13" fillId="0" borderId="10" xfId="0" applyFont="1" applyBorder="1" applyAlignment="1" applyProtection="1">
      <alignment horizontal="center" vertical="center"/>
      <protection locked="0"/>
    </xf>
    <xf numFmtId="174" fontId="7" fillId="11" borderId="32" xfId="0" applyNumberFormat="1" applyFont="1" applyFill="1" applyBorder="1" applyAlignment="1" applyProtection="1">
      <alignment horizontal="center" vertical="center"/>
      <protection locked="0"/>
    </xf>
    <xf numFmtId="174" fontId="7" fillId="11" borderId="13" xfId="0" applyNumberFormat="1" applyFont="1" applyFill="1" applyBorder="1" applyAlignment="1" applyProtection="1">
      <alignment horizontal="center" vertical="center"/>
      <protection locked="0"/>
    </xf>
    <xf numFmtId="174" fontId="7" fillId="2" borderId="20" xfId="0" applyNumberFormat="1" applyFont="1" applyFill="1" applyBorder="1" applyAlignment="1" applyProtection="1">
      <alignment horizontal="center" vertical="center" wrapText="1"/>
      <protection locked="0"/>
    </xf>
    <xf numFmtId="174" fontId="7" fillId="2" borderId="13" xfId="0" applyNumberFormat="1" applyFont="1" applyFill="1" applyBorder="1" applyAlignment="1" applyProtection="1">
      <alignment horizontal="center" vertical="center" wrapText="1"/>
      <protection locked="0"/>
    </xf>
    <xf numFmtId="174" fontId="7" fillId="2" borderId="16" xfId="0" applyNumberFormat="1" applyFont="1" applyFill="1" applyBorder="1" applyAlignment="1" applyProtection="1">
      <alignment horizontal="center" vertical="center" wrapText="1"/>
      <protection locked="0"/>
    </xf>
    <xf numFmtId="174" fontId="7" fillId="2" borderId="0" xfId="0" applyNumberFormat="1" applyFont="1" applyFill="1" applyAlignment="1" applyProtection="1">
      <alignment horizontal="center" vertical="center" wrapText="1"/>
      <protection locked="0"/>
    </xf>
    <xf numFmtId="174" fontId="7" fillId="2" borderId="54" xfId="0" applyNumberFormat="1" applyFont="1" applyFill="1" applyBorder="1" applyAlignment="1" applyProtection="1">
      <alignment horizontal="center" vertical="center" wrapText="1"/>
      <protection locked="0"/>
    </xf>
    <xf numFmtId="174" fontId="7" fillId="2" borderId="27" xfId="0" applyNumberFormat="1" applyFont="1" applyFill="1" applyBorder="1" applyAlignment="1" applyProtection="1">
      <alignment horizontal="center" vertical="center" wrapText="1"/>
      <protection locked="0"/>
    </xf>
    <xf numFmtId="0" fontId="22" fillId="12" borderId="32" xfId="0" applyFont="1" applyFill="1" applyBorder="1" applyAlignment="1">
      <alignment horizontal="center" vertical="center" wrapText="1"/>
    </xf>
    <xf numFmtId="0" fontId="22" fillId="12" borderId="13" xfId="0" applyFont="1" applyFill="1" applyBorder="1" applyAlignment="1">
      <alignment horizontal="center" vertical="center" wrapText="1"/>
    </xf>
    <xf numFmtId="0" fontId="22" fillId="12" borderId="33" xfId="0" applyFont="1" applyFill="1" applyBorder="1" applyAlignment="1">
      <alignment horizontal="center" vertical="center" wrapText="1"/>
    </xf>
    <xf numFmtId="0" fontId="22" fillId="12" borderId="30" xfId="0" applyFont="1" applyFill="1" applyBorder="1" applyAlignment="1">
      <alignment horizontal="center" vertical="center" wrapText="1"/>
    </xf>
    <xf numFmtId="0" fontId="22" fillId="12" borderId="11" xfId="0" applyFont="1" applyFill="1" applyBorder="1" applyAlignment="1">
      <alignment horizontal="center" vertical="center" wrapText="1"/>
    </xf>
    <xf numFmtId="0" fontId="22" fillId="12" borderId="10" xfId="0" applyFont="1" applyFill="1" applyBorder="1" applyAlignment="1">
      <alignment horizontal="center" vertical="center" wrapText="1"/>
    </xf>
    <xf numFmtId="0" fontId="29" fillId="0" borderId="0" xfId="0" applyFont="1" applyAlignment="1">
      <alignment horizontal="center"/>
    </xf>
    <xf numFmtId="0" fontId="13" fillId="7" borderId="14" xfId="0" applyFont="1" applyFill="1" applyBorder="1"/>
    <xf numFmtId="0" fontId="0" fillId="7" borderId="14" xfId="0" applyFill="1" applyBorder="1"/>
    <xf numFmtId="0" fontId="0" fillId="0" borderId="8" xfId="0" applyBorder="1" applyAlignment="1">
      <alignment horizontal="left" wrapText="1"/>
    </xf>
    <xf numFmtId="0" fontId="0" fillId="0" borderId="11" xfId="0" applyBorder="1" applyAlignment="1">
      <alignment horizontal="left" wrapText="1"/>
    </xf>
    <xf numFmtId="0" fontId="29" fillId="0" borderId="4" xfId="0" applyFont="1" applyBorder="1"/>
    <xf numFmtId="0" fontId="0" fillId="0" borderId="14" xfId="0" applyBorder="1"/>
    <xf numFmtId="0" fontId="0" fillId="0" borderId="15" xfId="0" applyBorder="1"/>
    <xf numFmtId="0" fontId="13" fillId="0" borderId="11" xfId="0" applyFont="1" applyBorder="1"/>
    <xf numFmtId="0" fontId="0" fillId="0" borderId="11" xfId="0" applyBorder="1"/>
    <xf numFmtId="0" fontId="24" fillId="0" borderId="0" xfId="0" applyFont="1" applyAlignment="1">
      <alignment horizontal="center"/>
    </xf>
    <xf numFmtId="0" fontId="2" fillId="0" borderId="8" xfId="0" applyFont="1" applyBorder="1" applyAlignment="1">
      <alignment wrapText="1"/>
    </xf>
    <xf numFmtId="0" fontId="0" fillId="0" borderId="8" xfId="0" applyBorder="1"/>
    <xf numFmtId="0" fontId="13" fillId="0" borderId="0" xfId="0" applyFont="1" applyAlignment="1">
      <alignment horizontal="center"/>
    </xf>
    <xf numFmtId="0" fontId="13" fillId="0" borderId="0" xfId="0" applyFont="1" applyAlignment="1">
      <alignment horizontal="left"/>
    </xf>
    <xf numFmtId="0" fontId="2" fillId="0" borderId="0" xfId="0" applyFont="1" applyAlignment="1">
      <alignment wrapText="1"/>
    </xf>
    <xf numFmtId="0" fontId="0" fillId="0" borderId="0" xfId="0"/>
    <xf numFmtId="0" fontId="0" fillId="0" borderId="0" xfId="0" applyAlignment="1">
      <alignment horizontal="left"/>
    </xf>
    <xf numFmtId="49" fontId="8" fillId="0" borderId="0" xfId="0" applyNumberFormat="1" applyFont="1" applyAlignment="1">
      <alignment horizontal="left"/>
    </xf>
    <xf numFmtId="0" fontId="6" fillId="0" borderId="0" xfId="0" applyFont="1" applyAlignment="1">
      <alignment horizontal="left"/>
    </xf>
    <xf numFmtId="0" fontId="0" fillId="0" borderId="0" xfId="0" applyAlignment="1">
      <alignment horizontal="left" wrapText="1"/>
    </xf>
    <xf numFmtId="0" fontId="3" fillId="0" borderId="1" xfId="0" applyFont="1" applyBorder="1" applyAlignment="1">
      <alignment horizontal="center"/>
    </xf>
    <xf numFmtId="0" fontId="3" fillId="0" borderId="8" xfId="0" applyFont="1" applyBorder="1" applyAlignment="1">
      <alignment horizontal="center"/>
    </xf>
    <xf numFmtId="0" fontId="3" fillId="3" borderId="45" xfId="0" applyFont="1" applyFill="1" applyBorder="1" applyAlignment="1">
      <alignment horizontal="center"/>
    </xf>
    <xf numFmtId="0" fontId="3" fillId="3" borderId="47" xfId="0" applyFont="1" applyFill="1" applyBorder="1" applyAlignment="1">
      <alignment horizontal="center"/>
    </xf>
    <xf numFmtId="0" fontId="3" fillId="3" borderId="46" xfId="0" applyFont="1" applyFill="1" applyBorder="1" applyAlignment="1">
      <alignment horizontal="center"/>
    </xf>
    <xf numFmtId="0" fontId="6" fillId="3" borderId="32" xfId="0" applyFont="1" applyFill="1" applyBorder="1" applyAlignment="1">
      <alignment horizontal="center"/>
    </xf>
    <xf numFmtId="0" fontId="6" fillId="3" borderId="13" xfId="0" applyFont="1" applyFill="1" applyBorder="1" applyAlignment="1">
      <alignment horizontal="center"/>
    </xf>
    <xf numFmtId="0" fontId="6" fillId="3" borderId="29" xfId="0" applyFont="1" applyFill="1" applyBorder="1" applyAlignment="1">
      <alignment horizontal="center"/>
    </xf>
    <xf numFmtId="0" fontId="3" fillId="4" borderId="13" xfId="0" applyFont="1" applyFill="1" applyBorder="1" applyAlignment="1">
      <alignment horizontal="center"/>
    </xf>
    <xf numFmtId="0" fontId="0" fillId="4" borderId="13" xfId="0" applyFill="1" applyBorder="1" applyAlignment="1">
      <alignment horizontal="center"/>
    </xf>
    <xf numFmtId="0" fontId="0" fillId="4" borderId="29" xfId="0" applyFill="1" applyBorder="1" applyAlignment="1">
      <alignment horizontal="center"/>
    </xf>
    <xf numFmtId="0" fontId="13" fillId="4" borderId="13" xfId="0" applyFont="1" applyFill="1" applyBorder="1" applyAlignment="1">
      <alignment horizontal="center"/>
    </xf>
    <xf numFmtId="0" fontId="13" fillId="4" borderId="29" xfId="0" applyFont="1" applyFill="1" applyBorder="1" applyAlignment="1">
      <alignment horizontal="center"/>
    </xf>
    <xf numFmtId="0" fontId="0" fillId="0" borderId="0" xfId="0" applyAlignment="1">
      <alignment horizontal="center"/>
    </xf>
    <xf numFmtId="0" fontId="3" fillId="0" borderId="32" xfId="0" applyFont="1" applyBorder="1" applyAlignment="1">
      <alignment horizontal="center"/>
    </xf>
    <xf numFmtId="0" fontId="3" fillId="0" borderId="13" xfId="0" applyFont="1" applyBorder="1" applyAlignment="1">
      <alignment horizontal="center"/>
    </xf>
    <xf numFmtId="0" fontId="3" fillId="0" borderId="29" xfId="0" applyFont="1" applyBorder="1" applyAlignment="1">
      <alignment horizontal="center"/>
    </xf>
    <xf numFmtId="0" fontId="3" fillId="0" borderId="41" xfId="0" applyFont="1" applyBorder="1" applyAlignment="1">
      <alignment horizontal="center"/>
    </xf>
    <xf numFmtId="0" fontId="3" fillId="0" borderId="0" xfId="0" applyFont="1" applyAlignment="1">
      <alignment horizontal="center"/>
    </xf>
    <xf numFmtId="0" fontId="3" fillId="0" borderId="34" xfId="0" applyFont="1" applyBorder="1" applyAlignment="1">
      <alignment horizontal="center"/>
    </xf>
    <xf numFmtId="0" fontId="3" fillId="3" borderId="13" xfId="0" applyFont="1" applyFill="1" applyBorder="1" applyAlignment="1">
      <alignment horizontal="center"/>
    </xf>
    <xf numFmtId="0" fontId="3" fillId="3" borderId="29" xfId="0" applyFont="1" applyFill="1" applyBorder="1" applyAlignment="1">
      <alignment horizontal="center"/>
    </xf>
    <xf numFmtId="0" fontId="3" fillId="3" borderId="0" xfId="0" applyFont="1" applyFill="1" applyAlignment="1">
      <alignment horizontal="center"/>
    </xf>
    <xf numFmtId="0" fontId="3" fillId="3" borderId="34" xfId="0" applyFont="1" applyFill="1" applyBorder="1" applyAlignment="1">
      <alignment horizontal="center"/>
    </xf>
    <xf numFmtId="0" fontId="3" fillId="3" borderId="16" xfId="0" applyFont="1" applyFill="1" applyBorder="1" applyAlignment="1">
      <alignment horizontal="center"/>
    </xf>
    <xf numFmtId="0" fontId="3" fillId="3" borderId="36" xfId="0" applyFont="1" applyFill="1" applyBorder="1" applyAlignment="1">
      <alignment horizontal="center"/>
    </xf>
  </cellXfs>
  <cellStyles count="3">
    <cellStyle name="Prozent" xfId="1" builtinId="5"/>
    <cellStyle name="Standard" xfId="0" builtinId="0"/>
    <cellStyle name="Standard 2" xfId="2" xr:uid="{00000000-0005-0000-0000-000002000000}"/>
  </cellStyles>
  <dxfs count="533">
    <dxf>
      <font>
        <color theme="0"/>
      </font>
    </dxf>
    <dxf>
      <font>
        <color theme="0"/>
      </font>
    </dxf>
    <dxf>
      <font>
        <color theme="0"/>
      </font>
    </dxf>
    <dxf>
      <font>
        <color theme="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8"/>
        <color auto="1"/>
        <name val="Arial"/>
        <family val="2"/>
        <scheme val="none"/>
      </font>
      <numFmt numFmtId="170" formatCode="General\ &quot;kV&quot;"/>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170" formatCode="General\ &quot;kV&quot;"/>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170" formatCode="General\ &quot;kV&quot;"/>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170" formatCode="General\ &quot;kV&quot;"/>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170" formatCode="General\ &quot;kV&quot;"/>
      <alignment horizontal="center" vertical="bottom" textRotation="0" wrapText="0" indent="0" justifyLastLine="0" shrinkToFit="0" readingOrder="0"/>
    </dxf>
    <dxf>
      <font>
        <b val="0"/>
        <i val="0"/>
        <strike val="0"/>
        <condense val="0"/>
        <extend val="0"/>
        <outline val="0"/>
        <shadow val="0"/>
        <u val="none"/>
        <vertAlign val="baseline"/>
        <sz val="8"/>
        <color theme="1"/>
        <name val="Arial"/>
        <scheme val="none"/>
      </font>
      <numFmt numFmtId="168" formatCode="0\ &quot;mm&quot;"/>
      <alignment horizontal="center" vertical="bottom" textRotation="0" wrapText="0" indent="0" justifyLastLine="0" shrinkToFit="0" readingOrder="0"/>
    </dxf>
    <dxf>
      <font>
        <b val="0"/>
        <i val="0"/>
        <strike val="0"/>
        <condense val="0"/>
        <extend val="0"/>
        <outline val="0"/>
        <shadow val="0"/>
        <u val="none"/>
        <vertAlign val="baseline"/>
        <sz val="8"/>
        <color theme="1"/>
        <name val="Arial"/>
        <scheme val="none"/>
      </font>
      <numFmt numFmtId="170" formatCode="General\ &quot;kV&quot;"/>
      <alignment horizontal="center" vertical="bottom" textRotation="0" wrapText="0" indent="0" justifyLastLine="0" shrinkToFit="0" readingOrder="0"/>
    </dxf>
    <dxf>
      <font>
        <b val="0"/>
        <i val="0"/>
        <strike val="0"/>
        <condense val="0"/>
        <extend val="0"/>
        <outline val="0"/>
        <shadow val="0"/>
        <u val="none"/>
        <vertAlign val="baseline"/>
        <sz val="8"/>
        <color theme="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8"/>
        <color theme="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8"/>
        <color theme="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8"/>
        <color theme="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dxf>
    <dxf>
      <font>
        <b/>
        <i val="0"/>
        <strike val="0"/>
        <condense val="0"/>
        <extend val="0"/>
        <outline val="0"/>
        <shadow val="0"/>
        <u val="none"/>
        <vertAlign val="baseline"/>
        <sz val="8"/>
        <color auto="1"/>
        <name val="Arial"/>
        <scheme val="none"/>
      </font>
      <numFmt numFmtId="172" formatCode="0.00\ &quot;Std&quot;"/>
      <fill>
        <patternFill patternType="none">
          <fgColor indexed="64"/>
          <bgColor indexed="65"/>
        </patternFill>
      </fill>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dxf>
    <dxf>
      <font>
        <color theme="0"/>
      </font>
    </dxf>
    <dxf>
      <font>
        <color theme="0"/>
      </font>
    </dxf>
    <dxf>
      <font>
        <color theme="0"/>
      </font>
    </dxf>
    <dxf>
      <font>
        <color theme="0"/>
      </font>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tint="0.39994506668294322"/>
        </patternFill>
      </fill>
    </dxf>
    <dxf>
      <fill>
        <patternFill>
          <bgColor theme="9"/>
        </patternFill>
      </fill>
    </dxf>
    <dxf>
      <font>
        <color rgb="FF9C0006"/>
      </font>
      <fill>
        <patternFill>
          <bgColor rgb="FFFFC7CE"/>
        </patternFill>
      </fill>
    </dxf>
    <dxf>
      <fill>
        <patternFill>
          <bgColor theme="9"/>
        </patternFill>
      </fill>
    </dxf>
    <dxf>
      <fill>
        <patternFill>
          <bgColor theme="9"/>
        </patternFill>
      </fill>
    </dxf>
    <dxf>
      <fill>
        <patternFill>
          <bgColor theme="9"/>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ill>
        <patternFill>
          <bgColor rgb="FFFFFF00"/>
        </patternFill>
      </fill>
    </dxf>
    <dxf>
      <font>
        <color auto="1"/>
      </font>
      <fill>
        <patternFill>
          <bgColor theme="9"/>
        </patternFill>
      </fill>
    </dxf>
    <dxf>
      <fill>
        <patternFill>
          <bgColor theme="9" tint="0.59996337778862885"/>
        </patternFill>
      </fill>
    </dxf>
    <dxf>
      <fill>
        <patternFill>
          <bgColor theme="9"/>
        </patternFill>
      </fill>
    </dxf>
    <dxf>
      <font>
        <color auto="1"/>
      </font>
      <fill>
        <patternFill>
          <bgColor theme="9"/>
        </patternFill>
      </fill>
    </dxf>
    <dxf>
      <font>
        <color auto="1"/>
      </font>
      <fill>
        <patternFill>
          <bgColor theme="9"/>
        </patternFill>
      </fill>
    </dxf>
    <dxf>
      <fill>
        <patternFill>
          <bgColor rgb="FFFFFF00"/>
        </patternFill>
      </fill>
    </dxf>
    <dxf>
      <font>
        <color auto="1"/>
      </font>
      <fill>
        <patternFill>
          <bgColor theme="9"/>
        </patternFill>
      </fill>
    </dxf>
    <dxf>
      <fill>
        <patternFill>
          <bgColor theme="9"/>
        </patternFill>
      </fill>
    </dxf>
    <dxf>
      <fill>
        <patternFill>
          <bgColor theme="9"/>
        </patternFill>
      </fill>
    </dxf>
    <dxf>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ill>
        <patternFill>
          <bgColor theme="9"/>
        </patternFill>
      </fill>
    </dxf>
    <dxf>
      <fill>
        <patternFill>
          <bgColor theme="9" tint="0.39994506668294322"/>
        </patternFill>
      </fill>
    </dxf>
    <dxf>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rgb="FFFFFF00"/>
        </patternFill>
      </fill>
    </dxf>
    <dxf>
      <font>
        <strike val="0"/>
      </font>
      <fill>
        <patternFill>
          <bgColor rgb="FFFFFF00"/>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ont>
        <color auto="1"/>
      </font>
      <fill>
        <patternFill>
          <bgColor theme="9"/>
        </patternFill>
      </fill>
    </dxf>
    <dxf>
      <font>
        <color auto="1"/>
      </font>
      <fill>
        <patternFill>
          <bgColor theme="0" tint="-0.14996795556505021"/>
        </patternFill>
      </fill>
    </dxf>
    <dxf>
      <font>
        <color auto="1"/>
      </font>
      <fill>
        <patternFill>
          <bgColor theme="0" tint="-0.14996795556505021"/>
        </patternFill>
      </fill>
    </dxf>
    <dxf>
      <font>
        <color auto="1"/>
      </font>
      <fill>
        <patternFill>
          <bgColor theme="0" tint="-0.14996795556505021"/>
        </patternFill>
      </fill>
    </dxf>
    <dxf>
      <font>
        <color auto="1"/>
      </font>
      <fill>
        <patternFill>
          <bgColor theme="0" tint="-0.14996795556505021"/>
        </patternFill>
      </fill>
    </dxf>
    <dxf>
      <font>
        <color auto="1"/>
      </font>
      <fill>
        <patternFill>
          <bgColor theme="0" tint="-0.14996795556505021"/>
        </patternFill>
      </fill>
    </dxf>
    <dxf>
      <font>
        <color auto="1"/>
      </font>
      <fill>
        <patternFill>
          <bgColor theme="0" tint="-0.14996795556505021"/>
        </patternFill>
      </fill>
    </dxf>
    <dxf>
      <font>
        <color auto="1"/>
      </font>
      <fill>
        <patternFill>
          <bgColor theme="0" tint="-0.14996795556505021"/>
        </patternFill>
      </fill>
    </dxf>
    <dxf>
      <font>
        <color auto="1"/>
      </font>
      <fill>
        <patternFill>
          <bgColor theme="0" tint="-0.14996795556505021"/>
        </patternFill>
      </fill>
    </dxf>
    <dxf>
      <font>
        <color auto="1"/>
      </font>
      <fill>
        <patternFill>
          <bgColor theme="0" tint="-0.14996795556505021"/>
        </patternFill>
      </fill>
    </dxf>
    <dxf>
      <font>
        <color auto="1"/>
      </font>
      <fill>
        <patternFill>
          <bgColor theme="0" tint="-0.14996795556505021"/>
        </patternFill>
      </fill>
    </dxf>
    <dxf>
      <font>
        <color auto="1"/>
      </font>
      <fill>
        <patternFill>
          <bgColor theme="0" tint="-0.14996795556505021"/>
        </patternFill>
      </fill>
    </dxf>
    <dxf>
      <font>
        <color auto="1"/>
      </font>
      <fill>
        <patternFill>
          <bgColor theme="0" tint="-0.14996795556505021"/>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ill>
        <patternFill>
          <bgColor theme="9"/>
        </patternFill>
      </fill>
    </dxf>
    <dxf>
      <fill>
        <patternFill>
          <bgColor theme="9"/>
        </patternFill>
      </fill>
    </dxf>
    <dxf>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strike/>
      </font>
      <fill>
        <patternFill>
          <bgColor rgb="FFFF0000"/>
        </patternFill>
      </fill>
    </dxf>
    <dxf>
      <fill>
        <patternFill>
          <bgColor theme="9" tint="0.39994506668294322"/>
        </patternFill>
      </fill>
    </dxf>
    <dxf>
      <fill>
        <patternFill>
          <bgColor theme="9"/>
        </patternFill>
      </fill>
    </dxf>
    <dxf>
      <fill>
        <patternFill patternType="solid">
          <fgColor auto="1"/>
          <bgColor theme="9"/>
        </patternFill>
      </fill>
    </dxf>
    <dxf>
      <font>
        <color auto="1"/>
      </font>
      <fill>
        <patternFill>
          <bgColor theme="9"/>
        </patternFill>
      </fill>
    </dxf>
    <dxf>
      <font>
        <color auto="1"/>
      </font>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ont>
        <color auto="1"/>
      </font>
      <fill>
        <patternFill>
          <bgColor theme="9"/>
        </patternFill>
      </fill>
    </dxf>
    <dxf>
      <fill>
        <patternFill>
          <bgColor theme="9" tint="0.39994506668294322"/>
        </patternFill>
      </fill>
    </dxf>
    <dxf>
      <fill>
        <patternFill>
          <bgColor theme="9"/>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rgb="FF9C0006"/>
      </font>
      <fill>
        <patternFill>
          <bgColor rgb="FFFFC7CE"/>
        </patternFill>
      </fill>
    </dxf>
    <dxf>
      <font>
        <color auto="1"/>
      </font>
      <fill>
        <patternFill>
          <bgColor theme="9"/>
        </patternFill>
      </fill>
    </dxf>
    <dxf>
      <font>
        <color auto="1"/>
      </font>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ill>
        <patternFill>
          <bgColor theme="9"/>
        </patternFill>
      </fill>
    </dxf>
    <dxf>
      <font>
        <color theme="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ill>
        <patternFill>
          <bgColor theme="9"/>
        </patternFill>
      </fill>
    </dxf>
    <dxf>
      <font>
        <color auto="1"/>
      </font>
      <fill>
        <patternFill>
          <bgColor theme="9"/>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CFFEB"/>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4F5D3"/>
      <color rgb="FFE2E5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sharedStrings" Target="sharedStrings.xml"/><Relationship Id="rId26" Type="http://schemas.openxmlformats.org/officeDocument/2006/relationships/customXml" Target="../customXml/item2.xml"/><Relationship Id="rId3" Type="http://schemas.openxmlformats.org/officeDocument/2006/relationships/worksheet" Target="worksheets/sheet3.xml"/><Relationship Id="rId21"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styles" Target="style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externalLink" Target="externalLinks/externalLink4.xml"/><Relationship Id="rId23" Type="http://schemas.openxmlformats.org/officeDocument/2006/relationships/calcChain" Target="calcChain.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 Id="rId22" Type="http://schemas.microsoft.com/office/2017/06/relationships/rdRichValueTypes" Target="richData/rdRichValueTyp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GBox" noThreeD="1"/>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GBox"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GBox" noThreeD="1"/>
</file>

<file path=xl/ctrlProps/ctrlProp20.xml><?xml version="1.0" encoding="utf-8"?>
<formControlPr xmlns="http://schemas.microsoft.com/office/spreadsheetml/2009/9/main" objectType="GBox" noThreeD="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GBox" noThreeD="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GBox" noThreeD="1"/>
</file>

<file path=xl/ctrlProps/ctrlProp26.xml><?xml version="1.0" encoding="utf-8"?>
<formControlPr xmlns="http://schemas.microsoft.com/office/spreadsheetml/2009/9/main" objectType="GBox" noThreeD="1"/>
</file>

<file path=xl/ctrlProps/ctrlProp27.xml><?xml version="1.0" encoding="utf-8"?>
<formControlPr xmlns="http://schemas.microsoft.com/office/spreadsheetml/2009/9/main" objectType="GBox" noThreeD="1"/>
</file>

<file path=xl/ctrlProps/ctrlProp28.xml><?xml version="1.0" encoding="utf-8"?>
<formControlPr xmlns="http://schemas.microsoft.com/office/spreadsheetml/2009/9/main" objectType="GBox" noThreeD="1"/>
</file>

<file path=xl/ctrlProps/ctrlProp29.xml><?xml version="1.0" encoding="utf-8"?>
<formControlPr xmlns="http://schemas.microsoft.com/office/spreadsheetml/2009/9/main" objectType="GBox" noThreeD="1"/>
</file>

<file path=xl/ctrlProps/ctrlProp30.xml><?xml version="1.0" encoding="utf-8"?>
<formControlPr xmlns="http://schemas.microsoft.com/office/spreadsheetml/2009/9/main" objectType="GBox" noThreeD="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GBox" noThreeD="1"/>
</file>

<file path=xl/ctrlProps/ctrlProp33.xml><?xml version="1.0" encoding="utf-8"?>
<formControlPr xmlns="http://schemas.microsoft.com/office/spreadsheetml/2009/9/main" objectType="GBox" noThreeD="1"/>
</file>

<file path=xl/ctrlProps/ctrlProp34.xml><?xml version="1.0" encoding="utf-8"?>
<formControlPr xmlns="http://schemas.microsoft.com/office/spreadsheetml/2009/9/main" objectType="GBox" noThreeD="1"/>
</file>

<file path=xl/ctrlProps/ctrlProp35.xml><?xml version="1.0" encoding="utf-8"?>
<formControlPr xmlns="http://schemas.microsoft.com/office/spreadsheetml/2009/9/main" objectType="GBox" noThreeD="1"/>
</file>

<file path=xl/ctrlProps/ctrlProp36.xml><?xml version="1.0" encoding="utf-8"?>
<formControlPr xmlns="http://schemas.microsoft.com/office/spreadsheetml/2009/9/main" objectType="GBox" noThreeD="1"/>
</file>

<file path=xl/ctrlProps/ctrlProp37.xml><?xml version="1.0" encoding="utf-8"?>
<formControlPr xmlns="http://schemas.microsoft.com/office/spreadsheetml/2009/9/main" objectType="GBox" noThreeD="1"/>
</file>

<file path=xl/ctrlProps/ctrlProp38.xml><?xml version="1.0" encoding="utf-8"?>
<formControlPr xmlns="http://schemas.microsoft.com/office/spreadsheetml/2009/9/main" objectType="GBox" noThreeD="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GBox" noThreeD="1"/>
</file>

<file path=xl/ctrlProps/ctrlProp41.xml><?xml version="1.0" encoding="utf-8"?>
<formControlPr xmlns="http://schemas.microsoft.com/office/spreadsheetml/2009/9/main" objectType="GBox" noThreeD="1"/>
</file>

<file path=xl/ctrlProps/ctrlProp42.xml><?xml version="1.0" encoding="utf-8"?>
<formControlPr xmlns="http://schemas.microsoft.com/office/spreadsheetml/2009/9/main" objectType="GBox" noThreeD="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GBox" noThreeD="1"/>
</file>

<file path=xl/ctrlProps/ctrlProp45.xml><?xml version="1.0" encoding="utf-8"?>
<formControlPr xmlns="http://schemas.microsoft.com/office/spreadsheetml/2009/9/main" objectType="GBox" noThreeD="1"/>
</file>

<file path=xl/ctrlProps/ctrlProp46.xml><?xml version="1.0" encoding="utf-8"?>
<formControlPr xmlns="http://schemas.microsoft.com/office/spreadsheetml/2009/9/main" objectType="GBox" noThreeD="1"/>
</file>

<file path=xl/ctrlProps/ctrlProp47.xml><?xml version="1.0" encoding="utf-8"?>
<formControlPr xmlns="http://schemas.microsoft.com/office/spreadsheetml/2009/9/main" objectType="GBox" noThreeD="1"/>
</file>

<file path=xl/ctrlProps/ctrlProp48.xml><?xml version="1.0" encoding="utf-8"?>
<formControlPr xmlns="http://schemas.microsoft.com/office/spreadsheetml/2009/9/main" objectType="GBox" noThreeD="1"/>
</file>

<file path=xl/ctrlProps/ctrlProp49.xml><?xml version="1.0" encoding="utf-8"?>
<formControlPr xmlns="http://schemas.microsoft.com/office/spreadsheetml/2009/9/main" objectType="GBox" noThreeD="1"/>
</file>

<file path=xl/ctrlProps/ctrlProp50.xml><?xml version="1.0" encoding="utf-8"?>
<formControlPr xmlns="http://schemas.microsoft.com/office/spreadsheetml/2009/9/main" objectType="GBox" noThreeD="1"/>
</file>

<file path=xl/ctrlProps/ctrlProp51.xml><?xml version="1.0" encoding="utf-8"?>
<formControlPr xmlns="http://schemas.microsoft.com/office/spreadsheetml/2009/9/main" objectType="GBox" noThreeD="1"/>
</file>

<file path=xl/ctrlProps/ctrlProp52.xml><?xml version="1.0" encoding="utf-8"?>
<formControlPr xmlns="http://schemas.microsoft.com/office/spreadsheetml/2009/9/main" objectType="GBox" noThreeD="1"/>
</file>

<file path=xl/ctrlProps/ctrlProp53.xml><?xml version="1.0" encoding="utf-8"?>
<formControlPr xmlns="http://schemas.microsoft.com/office/spreadsheetml/2009/9/main" objectType="GBox" noThreeD="1"/>
</file>

<file path=xl/ctrlProps/ctrlProp54.xml><?xml version="1.0" encoding="utf-8"?>
<formControlPr xmlns="http://schemas.microsoft.com/office/spreadsheetml/2009/9/main" objectType="GBox" noThreeD="1"/>
</file>

<file path=xl/ctrlProps/ctrlProp55.xml><?xml version="1.0" encoding="utf-8"?>
<formControlPr xmlns="http://schemas.microsoft.com/office/spreadsheetml/2009/9/main" objectType="GBox" noThreeD="1"/>
</file>

<file path=xl/ctrlProps/ctrlProp56.xml><?xml version="1.0" encoding="utf-8"?>
<formControlPr xmlns="http://schemas.microsoft.com/office/spreadsheetml/2009/9/main" objectType="GBox" noThreeD="1"/>
</file>

<file path=xl/ctrlProps/ctrlProp57.xml><?xml version="1.0" encoding="utf-8"?>
<formControlPr xmlns="http://schemas.microsoft.com/office/spreadsheetml/2009/9/main" objectType="GBox" noThreeD="1"/>
</file>

<file path=xl/ctrlProps/ctrlProp58.xml><?xml version="1.0" encoding="utf-8"?>
<formControlPr xmlns="http://schemas.microsoft.com/office/spreadsheetml/2009/9/main" objectType="GBox" noThreeD="1"/>
</file>

<file path=xl/ctrlProps/ctrlProp59.xml><?xml version="1.0" encoding="utf-8"?>
<formControlPr xmlns="http://schemas.microsoft.com/office/spreadsheetml/2009/9/main" objectType="GBox" noThreeD="1"/>
</file>

<file path=xl/ctrlProps/ctrlProp60.xml><?xml version="1.0" encoding="utf-8"?>
<formControlPr xmlns="http://schemas.microsoft.com/office/spreadsheetml/2009/9/main" objectType="GBox" noThreeD="1"/>
</file>

<file path=xl/ctrlProps/ctrlProp61.xml><?xml version="1.0" encoding="utf-8"?>
<formControlPr xmlns="http://schemas.microsoft.com/office/spreadsheetml/2009/9/main" objectType="GBox" noThreeD="1"/>
</file>

<file path=xl/ctrlProps/ctrlProp62.xml><?xml version="1.0" encoding="utf-8"?>
<formControlPr xmlns="http://schemas.microsoft.com/office/spreadsheetml/2009/9/main" objectType="GBox" noThreeD="1"/>
</file>

<file path=xl/ctrlProps/ctrlProp63.xml><?xml version="1.0" encoding="utf-8"?>
<formControlPr xmlns="http://schemas.microsoft.com/office/spreadsheetml/2009/9/main" objectType="GBox" noThreeD="1"/>
</file>

<file path=xl/ctrlProps/ctrlProp64.xml><?xml version="1.0" encoding="utf-8"?>
<formControlPr xmlns="http://schemas.microsoft.com/office/spreadsheetml/2009/9/main" objectType="GBox" noThreeD="1"/>
</file>

<file path=xl/ctrlProps/ctrlProp65.xml><?xml version="1.0" encoding="utf-8"?>
<formControlPr xmlns="http://schemas.microsoft.com/office/spreadsheetml/2009/9/main" objectType="GBox" noThreeD="1"/>
</file>

<file path=xl/ctrlProps/ctrlProp66.xml><?xml version="1.0" encoding="utf-8"?>
<formControlPr xmlns="http://schemas.microsoft.com/office/spreadsheetml/2009/9/main" objectType="GBox" noThreeD="1"/>
</file>

<file path=xl/ctrlProps/ctrlProp67.xml><?xml version="1.0" encoding="utf-8"?>
<formControlPr xmlns="http://schemas.microsoft.com/office/spreadsheetml/2009/9/main" objectType="GBox" noThreeD="1"/>
</file>

<file path=xl/ctrlProps/ctrlProp68.xml><?xml version="1.0" encoding="utf-8"?>
<formControlPr xmlns="http://schemas.microsoft.com/office/spreadsheetml/2009/9/main" objectType="GBox" noThreeD="1"/>
</file>

<file path=xl/ctrlProps/ctrlProp69.xml><?xml version="1.0" encoding="utf-8"?>
<formControlPr xmlns="http://schemas.microsoft.com/office/spreadsheetml/2009/9/main" objectType="GBox" noThreeD="1"/>
</file>

<file path=xl/ctrlProps/ctrlProp70.xml><?xml version="1.0" encoding="utf-8"?>
<formControlPr xmlns="http://schemas.microsoft.com/office/spreadsheetml/2009/9/main" objectType="GBox" noThreeD="1"/>
</file>

<file path=xl/ctrlProps/ctrlProp71.xml><?xml version="1.0" encoding="utf-8"?>
<formControlPr xmlns="http://schemas.microsoft.com/office/spreadsheetml/2009/9/main" objectType="GBox" noThreeD="1"/>
</file>

<file path=xl/ctrlProps/ctrlProp72.xml><?xml version="1.0" encoding="utf-8"?>
<formControlPr xmlns="http://schemas.microsoft.com/office/spreadsheetml/2009/9/main" objectType="GBox" noThreeD="1"/>
</file>

<file path=xl/ctrlProps/ctrlProp73.xml><?xml version="1.0" encoding="utf-8"?>
<formControlPr xmlns="http://schemas.microsoft.com/office/spreadsheetml/2009/9/main" objectType="GBox" noThreeD="1"/>
</file>

<file path=xl/ctrlProps/ctrlProp74.xml><?xml version="1.0" encoding="utf-8"?>
<formControlPr xmlns="http://schemas.microsoft.com/office/spreadsheetml/2009/9/main" objectType="GBox" noThreeD="1"/>
</file>

<file path=xl/ctrlProps/ctrlProp75.xml><?xml version="1.0" encoding="utf-8"?>
<formControlPr xmlns="http://schemas.microsoft.com/office/spreadsheetml/2009/9/main" objectType="GBox" noThreeD="1"/>
</file>

<file path=xl/ctrlProps/ctrlProp76.xml><?xml version="1.0" encoding="utf-8"?>
<formControlPr xmlns="http://schemas.microsoft.com/office/spreadsheetml/2009/9/main" objectType="GBox" noThreeD="1"/>
</file>

<file path=xl/ctrlProps/ctrlProp77.xml><?xml version="1.0" encoding="utf-8"?>
<formControlPr xmlns="http://schemas.microsoft.com/office/spreadsheetml/2009/9/main" objectType="GBox" noThreeD="1"/>
</file>

<file path=xl/ctrlProps/ctrlProp78.xml><?xml version="1.0" encoding="utf-8"?>
<formControlPr xmlns="http://schemas.microsoft.com/office/spreadsheetml/2009/9/main" objectType="GBox" noThreeD="1"/>
</file>

<file path=xl/ctrlProps/ctrlProp79.xml><?xml version="1.0" encoding="utf-8"?>
<formControlPr xmlns="http://schemas.microsoft.com/office/spreadsheetml/2009/9/main" objectType="GBox" noThreeD="1"/>
</file>

<file path=xl/ctrlProps/ctrlProp80.xml><?xml version="1.0" encoding="utf-8"?>
<formControlPr xmlns="http://schemas.microsoft.com/office/spreadsheetml/2009/9/main" objectType="GBox" noThreeD="1"/>
</file>

<file path=xl/ctrlProps/ctrlProp81.xml><?xml version="1.0" encoding="utf-8"?>
<formControlPr xmlns="http://schemas.microsoft.com/office/spreadsheetml/2009/9/main" objectType="GBox" noThreeD="1"/>
</file>

<file path=xl/ctrlProps/ctrlProp82.xml><?xml version="1.0" encoding="utf-8"?>
<formControlPr xmlns="http://schemas.microsoft.com/office/spreadsheetml/2009/9/main" objectType="GBox" noThreeD="1"/>
</file>

<file path=xl/ctrlProps/ctrlProp83.xml><?xml version="1.0" encoding="utf-8"?>
<formControlPr xmlns="http://schemas.microsoft.com/office/spreadsheetml/2009/9/main" objectType="GBox" noThreeD="1"/>
</file>

<file path=xl/ctrlProps/ctrlProp84.xml><?xml version="1.0" encoding="utf-8"?>
<formControlPr xmlns="http://schemas.microsoft.com/office/spreadsheetml/2009/9/main" objectType="GBox" noThreeD="1"/>
</file>

<file path=xl/ctrlProps/ctrlProp85.xml><?xml version="1.0" encoding="utf-8"?>
<formControlPr xmlns="http://schemas.microsoft.com/office/spreadsheetml/2009/9/main" objectType="GBox" noThreeD="1"/>
</file>

<file path=xl/ctrlProps/ctrlProp86.xml><?xml version="1.0" encoding="utf-8"?>
<formControlPr xmlns="http://schemas.microsoft.com/office/spreadsheetml/2009/9/main" objectType="GBox" noThreeD="1"/>
</file>

<file path=xl/ctrlProps/ctrlProp87.xml><?xml version="1.0" encoding="utf-8"?>
<formControlPr xmlns="http://schemas.microsoft.com/office/spreadsheetml/2009/9/main" objectType="GBox" noThreeD="1"/>
</file>

<file path=xl/ctrlProps/ctrlProp88.xml><?xml version="1.0" encoding="utf-8"?>
<formControlPr xmlns="http://schemas.microsoft.com/office/spreadsheetml/2009/9/main" objectType="GBox" noThreeD="1"/>
</file>

<file path=xl/ctrlProps/ctrlProp89.xml><?xml version="1.0" encoding="utf-8"?>
<formControlPr xmlns="http://schemas.microsoft.com/office/spreadsheetml/2009/9/main" objectType="GBox" noThreeD="1"/>
</file>

<file path=xl/ctrlProps/ctrlProp90.xml><?xml version="1.0" encoding="utf-8"?>
<formControlPr xmlns="http://schemas.microsoft.com/office/spreadsheetml/2009/9/main" objectType="GBox" noThreeD="1"/>
</file>

<file path=xl/ctrlProps/ctrlProp91.xml><?xml version="1.0" encoding="utf-8"?>
<formControlPr xmlns="http://schemas.microsoft.com/office/spreadsheetml/2009/9/main" objectType="GBox" noThreeD="1"/>
</file>

<file path=xl/ctrlProps/ctrlProp92.xml><?xml version="1.0" encoding="utf-8"?>
<formControlPr xmlns="http://schemas.microsoft.com/office/spreadsheetml/2009/9/main" objectType="GBox" noThreeD="1"/>
</file>

<file path=xl/ctrlProps/ctrlProp93.xml><?xml version="1.0" encoding="utf-8"?>
<formControlPr xmlns="http://schemas.microsoft.com/office/spreadsheetml/2009/9/main" objectType="GBox" noThreeD="1"/>
</file>

<file path=xl/ctrlProps/ctrlProp94.xml><?xml version="1.0" encoding="utf-8"?>
<formControlPr xmlns="http://schemas.microsoft.com/office/spreadsheetml/2009/9/main" objectType="GBox" noThreeD="1"/>
</file>

<file path=xl/ctrlProps/ctrlProp95.xml><?xml version="1.0" encoding="utf-8"?>
<formControlPr xmlns="http://schemas.microsoft.com/office/spreadsheetml/2009/9/main" objectType="GBox" noThreeD="1"/>
</file>

<file path=xl/ctrlProps/ctrlProp96.xml><?xml version="1.0" encoding="utf-8"?>
<formControlPr xmlns="http://schemas.microsoft.com/office/spreadsheetml/2009/9/main" objectType="GBox" noThreeD="1"/>
</file>

<file path=xl/ctrlProps/ctrlProp97.xml><?xml version="1.0" encoding="utf-8"?>
<formControlPr xmlns="http://schemas.microsoft.com/office/spreadsheetml/2009/9/main" objectType="GBox" noThreeD="1"/>
</file>

<file path=xl/ctrlProps/ctrlProp98.xml><?xml version="1.0" encoding="utf-8"?>
<formControlPr xmlns="http://schemas.microsoft.com/office/spreadsheetml/2009/9/main" objectType="GBox" noThreeD="1"/>
</file>

<file path=xl/ctrlProps/ctrlProp99.xml><?xml version="1.0" encoding="utf-8"?>
<formControlPr xmlns="http://schemas.microsoft.com/office/spreadsheetml/2009/9/main" objectType="GBox" noThreeD="1"/>
</file>

<file path=xl/ctrlProps/ctrlProp100.xml><?xml version="1.0" encoding="utf-8"?>
<formControlPr xmlns="http://schemas.microsoft.com/office/spreadsheetml/2009/9/main" objectType="GBox" noThreeD="1"/>
</file>

<file path=xl/ctrlProps/ctrlProp101.xml><?xml version="1.0" encoding="utf-8"?>
<formControlPr xmlns="http://schemas.microsoft.com/office/spreadsheetml/2009/9/main" objectType="GBox" noThreeD="1"/>
</file>

<file path=xl/ctrlProps/ctrlProp102.xml><?xml version="1.0" encoding="utf-8"?>
<formControlPr xmlns="http://schemas.microsoft.com/office/spreadsheetml/2009/9/main" objectType="GBox" noThreeD="1"/>
</file>

<file path=xl/ctrlProps/ctrlProp103.xml><?xml version="1.0" encoding="utf-8"?>
<formControlPr xmlns="http://schemas.microsoft.com/office/spreadsheetml/2009/9/main" objectType="GBox" noThreeD="1"/>
</file>

<file path=xl/ctrlProps/ctrlProp104.xml><?xml version="1.0" encoding="utf-8"?>
<formControlPr xmlns="http://schemas.microsoft.com/office/spreadsheetml/2009/9/main" objectType="GBox" noThreeD="1"/>
</file>

<file path=xl/ctrlProps/ctrlProp105.xml><?xml version="1.0" encoding="utf-8"?>
<formControlPr xmlns="http://schemas.microsoft.com/office/spreadsheetml/2009/9/main" objectType="GBox" noThreeD="1"/>
</file>

<file path=xl/ctrlProps/ctrlProp106.xml><?xml version="1.0" encoding="utf-8"?>
<formControlPr xmlns="http://schemas.microsoft.com/office/spreadsheetml/2009/9/main" objectType="GBox" noThreeD="1"/>
</file>

<file path=xl/ctrlProps/ctrlProp107.xml><?xml version="1.0" encoding="utf-8"?>
<formControlPr xmlns="http://schemas.microsoft.com/office/spreadsheetml/2009/9/main" objectType="GBox" noThreeD="1"/>
</file>

<file path=xl/ctrlProps/ctrlProp108.xml><?xml version="1.0" encoding="utf-8"?>
<formControlPr xmlns="http://schemas.microsoft.com/office/spreadsheetml/2009/9/main" objectType="GBox" noThreeD="1"/>
</file>

<file path=xl/ctrlProps/ctrlProp109.xml><?xml version="1.0" encoding="utf-8"?>
<formControlPr xmlns="http://schemas.microsoft.com/office/spreadsheetml/2009/9/main" objectType="GBox" noThreeD="1"/>
</file>

<file path=xl/ctrlProps/ctrlProp110.xml><?xml version="1.0" encoding="utf-8"?>
<formControlPr xmlns="http://schemas.microsoft.com/office/spreadsheetml/2009/9/main" objectType="GBox" noThreeD="1"/>
</file>

<file path=xl/ctrlProps/ctrlProp111.xml><?xml version="1.0" encoding="utf-8"?>
<formControlPr xmlns="http://schemas.microsoft.com/office/spreadsheetml/2009/9/main" objectType="GBox" noThreeD="1"/>
</file>

<file path=xl/ctrlProps/ctrlProp112.xml><?xml version="1.0" encoding="utf-8"?>
<formControlPr xmlns="http://schemas.microsoft.com/office/spreadsheetml/2009/9/main" objectType="GBox" noThreeD="1"/>
</file>

<file path=xl/ctrlProps/ctrlProp113.xml><?xml version="1.0" encoding="utf-8"?>
<formControlPr xmlns="http://schemas.microsoft.com/office/spreadsheetml/2009/9/main" objectType="GBox" noThreeD="1"/>
</file>

<file path=xl/ctrlProps/ctrlProp114.xml><?xml version="1.0" encoding="utf-8"?>
<formControlPr xmlns="http://schemas.microsoft.com/office/spreadsheetml/2009/9/main" objectType="GBox" noThreeD="1"/>
</file>

<file path=xl/ctrlProps/ctrlProp115.xml><?xml version="1.0" encoding="utf-8"?>
<formControlPr xmlns="http://schemas.microsoft.com/office/spreadsheetml/2009/9/main" objectType="GBox" noThreeD="1"/>
</file>

<file path=xl/ctrlProps/ctrlProp116.xml><?xml version="1.0" encoding="utf-8"?>
<formControlPr xmlns="http://schemas.microsoft.com/office/spreadsheetml/2009/9/main" objectType="GBox" noThreeD="1"/>
</file>

<file path=xl/ctrlProps/ctrlProp117.xml><?xml version="1.0" encoding="utf-8"?>
<formControlPr xmlns="http://schemas.microsoft.com/office/spreadsheetml/2009/9/main" objectType="GBox" noThreeD="1"/>
</file>

<file path=xl/ctrlProps/ctrlProp118.xml><?xml version="1.0" encoding="utf-8"?>
<formControlPr xmlns="http://schemas.microsoft.com/office/spreadsheetml/2009/9/main" objectType="GBox" noThreeD="1"/>
</file>

<file path=xl/ctrlProps/ctrlProp119.xml><?xml version="1.0" encoding="utf-8"?>
<formControlPr xmlns="http://schemas.microsoft.com/office/spreadsheetml/2009/9/main" objectType="GBox" noThreeD="1"/>
</file>

<file path=xl/ctrlProps/ctrlProp120.xml><?xml version="1.0" encoding="utf-8"?>
<formControlPr xmlns="http://schemas.microsoft.com/office/spreadsheetml/2009/9/main" objectType="GBox" noThreeD="1"/>
</file>

<file path=xl/ctrlProps/ctrlProp121.xml><?xml version="1.0" encoding="utf-8"?>
<formControlPr xmlns="http://schemas.microsoft.com/office/spreadsheetml/2009/9/main" objectType="GBox" noThreeD="1"/>
</file>

<file path=xl/ctrlProps/ctrlProp122.xml><?xml version="1.0" encoding="utf-8"?>
<formControlPr xmlns="http://schemas.microsoft.com/office/spreadsheetml/2009/9/main" objectType="GBox" noThreeD="1"/>
</file>

<file path=xl/ctrlProps/ctrlProp123.xml><?xml version="1.0" encoding="utf-8"?>
<formControlPr xmlns="http://schemas.microsoft.com/office/spreadsheetml/2009/9/main" objectType="GBox" noThreeD="1"/>
</file>

<file path=xl/ctrlProps/ctrlProp124.xml><?xml version="1.0" encoding="utf-8"?>
<formControlPr xmlns="http://schemas.microsoft.com/office/spreadsheetml/2009/9/main" objectType="GBox" noThreeD="1"/>
</file>

<file path=xl/ctrlProps/ctrlProp125.xml><?xml version="1.0" encoding="utf-8"?>
<formControlPr xmlns="http://schemas.microsoft.com/office/spreadsheetml/2009/9/main" objectType="GBox" noThreeD="1"/>
</file>

<file path=xl/ctrlProps/ctrlProp126.xml><?xml version="1.0" encoding="utf-8"?>
<formControlPr xmlns="http://schemas.microsoft.com/office/spreadsheetml/2009/9/main" objectType="GBox" noThreeD="1"/>
</file>

<file path=xl/ctrlProps/ctrlProp127.xml><?xml version="1.0" encoding="utf-8"?>
<formControlPr xmlns="http://schemas.microsoft.com/office/spreadsheetml/2009/9/main" objectType="GBox" noThreeD="1"/>
</file>

<file path=xl/ctrlProps/ctrlProp128.xml><?xml version="1.0" encoding="utf-8"?>
<formControlPr xmlns="http://schemas.microsoft.com/office/spreadsheetml/2009/9/main" objectType="GBox" noThreeD="1"/>
</file>

<file path=xl/ctrlProps/ctrlProp129.xml><?xml version="1.0" encoding="utf-8"?>
<formControlPr xmlns="http://schemas.microsoft.com/office/spreadsheetml/2009/9/main" objectType="GBox" noThreeD="1"/>
</file>

<file path=xl/ctrlProps/ctrlProp130.xml><?xml version="1.0" encoding="utf-8"?>
<formControlPr xmlns="http://schemas.microsoft.com/office/spreadsheetml/2009/9/main" objectType="GBox" noThreeD="1"/>
</file>

<file path=xl/ctrlProps/ctrlProp131.xml><?xml version="1.0" encoding="utf-8"?>
<formControlPr xmlns="http://schemas.microsoft.com/office/spreadsheetml/2009/9/main" objectType="GBox" noThreeD="1"/>
</file>

<file path=xl/ctrlProps/ctrlProp132.xml><?xml version="1.0" encoding="utf-8"?>
<formControlPr xmlns="http://schemas.microsoft.com/office/spreadsheetml/2009/9/main" objectType="GBox" noThreeD="1"/>
</file>

<file path=xl/ctrlProps/ctrlProp133.xml><?xml version="1.0" encoding="utf-8"?>
<formControlPr xmlns="http://schemas.microsoft.com/office/spreadsheetml/2009/9/main" objectType="GBox" noThreeD="1"/>
</file>

<file path=xl/ctrlProps/ctrlProp134.xml><?xml version="1.0" encoding="utf-8"?>
<formControlPr xmlns="http://schemas.microsoft.com/office/spreadsheetml/2009/9/main" objectType="GBox" noThreeD="1"/>
</file>

<file path=xl/ctrlProps/ctrlProp135.xml><?xml version="1.0" encoding="utf-8"?>
<formControlPr xmlns="http://schemas.microsoft.com/office/spreadsheetml/2009/9/main" objectType="GBox" noThreeD="1"/>
</file>

<file path=xl/ctrlProps/ctrlProp136.xml><?xml version="1.0" encoding="utf-8"?>
<formControlPr xmlns="http://schemas.microsoft.com/office/spreadsheetml/2009/9/main" objectType="GBox" noThreeD="1"/>
</file>

<file path=xl/ctrlProps/ctrlProp137.xml><?xml version="1.0" encoding="utf-8"?>
<formControlPr xmlns="http://schemas.microsoft.com/office/spreadsheetml/2009/9/main" objectType="GBox" noThreeD="1"/>
</file>

<file path=xl/ctrlProps/ctrlProp138.xml><?xml version="1.0" encoding="utf-8"?>
<formControlPr xmlns="http://schemas.microsoft.com/office/spreadsheetml/2009/9/main" objectType="GBox" noThreeD="1"/>
</file>

<file path=xl/ctrlProps/ctrlProp139.xml><?xml version="1.0" encoding="utf-8"?>
<formControlPr xmlns="http://schemas.microsoft.com/office/spreadsheetml/2009/9/main" objectType="GBox" noThreeD="1"/>
</file>

<file path=xl/ctrlProps/ctrlProp140.xml><?xml version="1.0" encoding="utf-8"?>
<formControlPr xmlns="http://schemas.microsoft.com/office/spreadsheetml/2009/9/main" objectType="GBox" noThreeD="1"/>
</file>

<file path=xl/ctrlProps/ctrlProp141.xml><?xml version="1.0" encoding="utf-8"?>
<formControlPr xmlns="http://schemas.microsoft.com/office/spreadsheetml/2009/9/main" objectType="GBox" noThreeD="1"/>
</file>

<file path=xl/ctrlProps/ctrlProp142.xml><?xml version="1.0" encoding="utf-8"?>
<formControlPr xmlns="http://schemas.microsoft.com/office/spreadsheetml/2009/9/main" objectType="GBox" noThreeD="1"/>
</file>

<file path=xl/ctrlProps/ctrlProp143.xml><?xml version="1.0" encoding="utf-8"?>
<formControlPr xmlns="http://schemas.microsoft.com/office/spreadsheetml/2009/9/main" objectType="GBox" noThreeD="1"/>
</file>

<file path=xl/ctrlProps/ctrlProp144.xml><?xml version="1.0" encoding="utf-8"?>
<formControlPr xmlns="http://schemas.microsoft.com/office/spreadsheetml/2009/9/main" objectType="GBox" noThreeD="1"/>
</file>

<file path=xl/ctrlProps/ctrlProp145.xml><?xml version="1.0" encoding="utf-8"?>
<formControlPr xmlns="http://schemas.microsoft.com/office/spreadsheetml/2009/9/main" objectType="GBox" noThreeD="1"/>
</file>

<file path=xl/ctrlProps/ctrlProp146.xml><?xml version="1.0" encoding="utf-8"?>
<formControlPr xmlns="http://schemas.microsoft.com/office/spreadsheetml/2009/9/main" objectType="GBox" noThreeD="1"/>
</file>

<file path=xl/ctrlProps/ctrlProp147.xml><?xml version="1.0" encoding="utf-8"?>
<formControlPr xmlns="http://schemas.microsoft.com/office/spreadsheetml/2009/9/main" objectType="GBox" noThreeD="1"/>
</file>

<file path=xl/ctrlProps/ctrlProp148.xml><?xml version="1.0" encoding="utf-8"?>
<formControlPr xmlns="http://schemas.microsoft.com/office/spreadsheetml/2009/9/main" objectType="GBox" noThreeD="1"/>
</file>

<file path=xl/ctrlProps/ctrlProp149.xml><?xml version="1.0" encoding="utf-8"?>
<formControlPr xmlns="http://schemas.microsoft.com/office/spreadsheetml/2009/9/main" objectType="GBox" noThreeD="1"/>
</file>

<file path=xl/ctrlProps/ctrlProp150.xml><?xml version="1.0" encoding="utf-8"?>
<formControlPr xmlns="http://schemas.microsoft.com/office/spreadsheetml/2009/9/main" objectType="GBox" noThreeD="1"/>
</file>

<file path=xl/ctrlProps/ctrlProp151.xml><?xml version="1.0" encoding="utf-8"?>
<formControlPr xmlns="http://schemas.microsoft.com/office/spreadsheetml/2009/9/main" objectType="GBox" noThreeD="1"/>
</file>

<file path=xl/ctrlProps/ctrlProp152.xml><?xml version="1.0" encoding="utf-8"?>
<formControlPr xmlns="http://schemas.microsoft.com/office/spreadsheetml/2009/9/main" objectType="GBox" noThreeD="1"/>
</file>

<file path=xl/ctrlProps/ctrlProp153.xml><?xml version="1.0" encoding="utf-8"?>
<formControlPr xmlns="http://schemas.microsoft.com/office/spreadsheetml/2009/9/main" objectType="GBox" noThreeD="1"/>
</file>

<file path=xl/ctrlProps/ctrlProp154.xml><?xml version="1.0" encoding="utf-8"?>
<formControlPr xmlns="http://schemas.microsoft.com/office/spreadsheetml/2009/9/main" objectType="GBox" noThreeD="1"/>
</file>

<file path=xl/ctrlProps/ctrlProp155.xml><?xml version="1.0" encoding="utf-8"?>
<formControlPr xmlns="http://schemas.microsoft.com/office/spreadsheetml/2009/9/main" objectType="GBox" noThreeD="1"/>
</file>

<file path=xl/ctrlProps/ctrlProp156.xml><?xml version="1.0" encoding="utf-8"?>
<formControlPr xmlns="http://schemas.microsoft.com/office/spreadsheetml/2009/9/main" objectType="GBox" noThreeD="1"/>
</file>

<file path=xl/ctrlProps/ctrlProp157.xml><?xml version="1.0" encoding="utf-8"?>
<formControlPr xmlns="http://schemas.microsoft.com/office/spreadsheetml/2009/9/main" objectType="GBox" noThreeD="1"/>
</file>

<file path=xl/ctrlProps/ctrlProp158.xml><?xml version="1.0" encoding="utf-8"?>
<formControlPr xmlns="http://schemas.microsoft.com/office/spreadsheetml/2009/9/main" objectType="GBox" noThreeD="1"/>
</file>

<file path=xl/ctrlProps/ctrlProp159.xml><?xml version="1.0" encoding="utf-8"?>
<formControlPr xmlns="http://schemas.microsoft.com/office/spreadsheetml/2009/9/main" objectType="GBox" noThreeD="1"/>
</file>

<file path=xl/ctrlProps/ctrlProp160.xml><?xml version="1.0" encoding="utf-8"?>
<formControlPr xmlns="http://schemas.microsoft.com/office/spreadsheetml/2009/9/main" objectType="GBox" noThreeD="1"/>
</file>

<file path=xl/ctrlProps/ctrlProp161.xml><?xml version="1.0" encoding="utf-8"?>
<formControlPr xmlns="http://schemas.microsoft.com/office/spreadsheetml/2009/9/main" objectType="GBox" noThreeD="1"/>
</file>

<file path=xl/ctrlProps/ctrlProp162.xml><?xml version="1.0" encoding="utf-8"?>
<formControlPr xmlns="http://schemas.microsoft.com/office/spreadsheetml/2009/9/main" objectType="GBox" noThreeD="1"/>
</file>

<file path=xl/ctrlProps/ctrlProp163.xml><?xml version="1.0" encoding="utf-8"?>
<formControlPr xmlns="http://schemas.microsoft.com/office/spreadsheetml/2009/9/main" objectType="GBox" noThreeD="1"/>
</file>

<file path=xl/ctrlProps/ctrlProp164.xml><?xml version="1.0" encoding="utf-8"?>
<formControlPr xmlns="http://schemas.microsoft.com/office/spreadsheetml/2009/9/main" objectType="GBox" noThreeD="1"/>
</file>

<file path=xl/ctrlProps/ctrlProp165.xml><?xml version="1.0" encoding="utf-8"?>
<formControlPr xmlns="http://schemas.microsoft.com/office/spreadsheetml/2009/9/main" objectType="GBox" noThreeD="1"/>
</file>

<file path=xl/ctrlProps/ctrlProp166.xml><?xml version="1.0" encoding="utf-8"?>
<formControlPr xmlns="http://schemas.microsoft.com/office/spreadsheetml/2009/9/main" objectType="GBox" noThreeD="1"/>
</file>

<file path=xl/ctrlProps/ctrlProp167.xml><?xml version="1.0" encoding="utf-8"?>
<formControlPr xmlns="http://schemas.microsoft.com/office/spreadsheetml/2009/9/main" objectType="GBox" noThreeD="1"/>
</file>

<file path=xl/ctrlProps/ctrlProp168.xml><?xml version="1.0" encoding="utf-8"?>
<formControlPr xmlns="http://schemas.microsoft.com/office/spreadsheetml/2009/9/main" objectType="GBox" noThreeD="1"/>
</file>

<file path=xl/ctrlProps/ctrlProp169.xml><?xml version="1.0" encoding="utf-8"?>
<formControlPr xmlns="http://schemas.microsoft.com/office/spreadsheetml/2009/9/main" objectType="GBox" noThreeD="1"/>
</file>

<file path=xl/ctrlProps/ctrlProp170.xml><?xml version="1.0" encoding="utf-8"?>
<formControlPr xmlns="http://schemas.microsoft.com/office/spreadsheetml/2009/9/main" objectType="GBox" noThreeD="1"/>
</file>

<file path=xl/ctrlProps/ctrlProp171.xml><?xml version="1.0" encoding="utf-8"?>
<formControlPr xmlns="http://schemas.microsoft.com/office/spreadsheetml/2009/9/main" objectType="GBox" noThreeD="1"/>
</file>

<file path=xl/ctrlProps/ctrlProp172.xml><?xml version="1.0" encoding="utf-8"?>
<formControlPr xmlns="http://schemas.microsoft.com/office/spreadsheetml/2009/9/main" objectType="GBox" noThreeD="1"/>
</file>

<file path=xl/ctrlProps/ctrlProp173.xml><?xml version="1.0" encoding="utf-8"?>
<formControlPr xmlns="http://schemas.microsoft.com/office/spreadsheetml/2009/9/main" objectType="GBox" noThreeD="1"/>
</file>

<file path=xl/ctrlProps/ctrlProp174.xml><?xml version="1.0" encoding="utf-8"?>
<formControlPr xmlns="http://schemas.microsoft.com/office/spreadsheetml/2009/9/main" objectType="GBox" noThreeD="1"/>
</file>

<file path=xl/ctrlProps/ctrlProp175.xml><?xml version="1.0" encoding="utf-8"?>
<formControlPr xmlns="http://schemas.microsoft.com/office/spreadsheetml/2009/9/main" objectType="GBox" noThreeD="1"/>
</file>

<file path=xl/ctrlProps/ctrlProp176.xml><?xml version="1.0" encoding="utf-8"?>
<formControlPr xmlns="http://schemas.microsoft.com/office/spreadsheetml/2009/9/main" objectType="GBox" noThreeD="1"/>
</file>

<file path=xl/ctrlProps/ctrlProp177.xml><?xml version="1.0" encoding="utf-8"?>
<formControlPr xmlns="http://schemas.microsoft.com/office/spreadsheetml/2009/9/main" objectType="GBox" noThreeD="1"/>
</file>

<file path=xl/ctrlProps/ctrlProp178.xml><?xml version="1.0" encoding="utf-8"?>
<formControlPr xmlns="http://schemas.microsoft.com/office/spreadsheetml/2009/9/main" objectType="GBox" noThreeD="1"/>
</file>

<file path=xl/ctrlProps/ctrlProp179.xml><?xml version="1.0" encoding="utf-8"?>
<formControlPr xmlns="http://schemas.microsoft.com/office/spreadsheetml/2009/9/main" objectType="GBox" noThreeD="1"/>
</file>

<file path=xl/ctrlProps/ctrlProp180.xml><?xml version="1.0" encoding="utf-8"?>
<formControlPr xmlns="http://schemas.microsoft.com/office/spreadsheetml/2009/9/main" objectType="GBox" noThreeD="1"/>
</file>

<file path=xl/ctrlProps/ctrlProp181.xml><?xml version="1.0" encoding="utf-8"?>
<formControlPr xmlns="http://schemas.microsoft.com/office/spreadsheetml/2009/9/main" objectType="GBox" noThreeD="1"/>
</file>

<file path=xl/ctrlProps/ctrlProp182.xml><?xml version="1.0" encoding="utf-8"?>
<formControlPr xmlns="http://schemas.microsoft.com/office/spreadsheetml/2009/9/main" objectType="GBox" noThreeD="1"/>
</file>

<file path=xl/ctrlProps/ctrlProp183.xml><?xml version="1.0" encoding="utf-8"?>
<formControlPr xmlns="http://schemas.microsoft.com/office/spreadsheetml/2009/9/main" objectType="GBox" noThreeD="1"/>
</file>

<file path=xl/ctrlProps/ctrlProp184.xml><?xml version="1.0" encoding="utf-8"?>
<formControlPr xmlns="http://schemas.microsoft.com/office/spreadsheetml/2009/9/main" objectType="GBox" noThreeD="1"/>
</file>

<file path=xl/ctrlProps/ctrlProp185.xml><?xml version="1.0" encoding="utf-8"?>
<formControlPr xmlns="http://schemas.microsoft.com/office/spreadsheetml/2009/9/main" objectType="GBox" noThreeD="1"/>
</file>

<file path=xl/ctrlProps/ctrlProp186.xml><?xml version="1.0" encoding="utf-8"?>
<formControlPr xmlns="http://schemas.microsoft.com/office/spreadsheetml/2009/9/main" objectType="GBox" noThreeD="1"/>
</file>

<file path=xl/ctrlProps/ctrlProp187.xml><?xml version="1.0" encoding="utf-8"?>
<formControlPr xmlns="http://schemas.microsoft.com/office/spreadsheetml/2009/9/main" objectType="GBox" noThreeD="1"/>
</file>

<file path=xl/ctrlProps/ctrlProp188.xml><?xml version="1.0" encoding="utf-8"?>
<formControlPr xmlns="http://schemas.microsoft.com/office/spreadsheetml/2009/9/main" objectType="GBox" noThreeD="1"/>
</file>

<file path=xl/ctrlProps/ctrlProp189.xml><?xml version="1.0" encoding="utf-8"?>
<formControlPr xmlns="http://schemas.microsoft.com/office/spreadsheetml/2009/9/main" objectType="GBox" noThreeD="1"/>
</file>

<file path=xl/ctrlProps/ctrlProp190.xml><?xml version="1.0" encoding="utf-8"?>
<formControlPr xmlns="http://schemas.microsoft.com/office/spreadsheetml/2009/9/main" objectType="GBox" noThreeD="1"/>
</file>

<file path=xl/ctrlProps/ctrlProp191.xml><?xml version="1.0" encoding="utf-8"?>
<formControlPr xmlns="http://schemas.microsoft.com/office/spreadsheetml/2009/9/main" objectType="GBox" noThreeD="1"/>
</file>

<file path=xl/ctrlProps/ctrlProp192.xml><?xml version="1.0" encoding="utf-8"?>
<formControlPr xmlns="http://schemas.microsoft.com/office/spreadsheetml/2009/9/main" objectType="GBox" noThreeD="1"/>
</file>

<file path=xl/ctrlProps/ctrlProp193.xml><?xml version="1.0" encoding="utf-8"?>
<formControlPr xmlns="http://schemas.microsoft.com/office/spreadsheetml/2009/9/main" objectType="GBox" noThreeD="1"/>
</file>

<file path=xl/ctrlProps/ctrlProp194.xml><?xml version="1.0" encoding="utf-8"?>
<formControlPr xmlns="http://schemas.microsoft.com/office/spreadsheetml/2009/9/main" objectType="GBox" noThreeD="1"/>
</file>

<file path=xl/ctrlProps/ctrlProp195.xml><?xml version="1.0" encoding="utf-8"?>
<formControlPr xmlns="http://schemas.microsoft.com/office/spreadsheetml/2009/9/main" objectType="GBox" noThreeD="1"/>
</file>

<file path=xl/ctrlProps/ctrlProp196.xml><?xml version="1.0" encoding="utf-8"?>
<formControlPr xmlns="http://schemas.microsoft.com/office/spreadsheetml/2009/9/main" objectType="GBox" noThreeD="1"/>
</file>

<file path=xl/ctrlProps/ctrlProp197.xml><?xml version="1.0" encoding="utf-8"?>
<formControlPr xmlns="http://schemas.microsoft.com/office/spreadsheetml/2009/9/main" objectType="GBox" noThreeD="1"/>
</file>

<file path=xl/ctrlProps/ctrlProp198.xml><?xml version="1.0" encoding="utf-8"?>
<formControlPr xmlns="http://schemas.microsoft.com/office/spreadsheetml/2009/9/main" objectType="GBox" noThreeD="1"/>
</file>

<file path=xl/ctrlProps/ctrlProp199.xml><?xml version="1.0" encoding="utf-8"?>
<formControlPr xmlns="http://schemas.microsoft.com/office/spreadsheetml/2009/9/main" objectType="GBox" noThreeD="1"/>
</file>

<file path=xl/ctrlProps/ctrlProp200.xml><?xml version="1.0" encoding="utf-8"?>
<formControlPr xmlns="http://schemas.microsoft.com/office/spreadsheetml/2009/9/main" objectType="GBox" noThreeD="1"/>
</file>

<file path=xl/ctrlProps/ctrlProp201.xml><?xml version="1.0" encoding="utf-8"?>
<formControlPr xmlns="http://schemas.microsoft.com/office/spreadsheetml/2009/9/main" objectType="GBox" noThreeD="1"/>
</file>

<file path=xl/ctrlProps/ctrlProp202.xml><?xml version="1.0" encoding="utf-8"?>
<formControlPr xmlns="http://schemas.microsoft.com/office/spreadsheetml/2009/9/main" objectType="GBox" noThreeD="1"/>
</file>

<file path=xl/ctrlProps/ctrlProp203.xml><?xml version="1.0" encoding="utf-8"?>
<formControlPr xmlns="http://schemas.microsoft.com/office/spreadsheetml/2009/9/main" objectType="GBox" noThreeD="1"/>
</file>

<file path=xl/ctrlProps/ctrlProp204.xml><?xml version="1.0" encoding="utf-8"?>
<formControlPr xmlns="http://schemas.microsoft.com/office/spreadsheetml/2009/9/main" objectType="GBox" noThreeD="1"/>
</file>

<file path=xl/ctrlProps/ctrlProp205.xml><?xml version="1.0" encoding="utf-8"?>
<formControlPr xmlns="http://schemas.microsoft.com/office/spreadsheetml/2009/9/main" objectType="GBox" noThreeD="1"/>
</file>

<file path=xl/ctrlProps/ctrlProp206.xml><?xml version="1.0" encoding="utf-8"?>
<formControlPr xmlns="http://schemas.microsoft.com/office/spreadsheetml/2009/9/main" objectType="GBox" noThreeD="1"/>
</file>

<file path=xl/ctrlProps/ctrlProp207.xml><?xml version="1.0" encoding="utf-8"?>
<formControlPr xmlns="http://schemas.microsoft.com/office/spreadsheetml/2009/9/main" objectType="GBox" noThreeD="1"/>
</file>

<file path=xl/ctrlProps/ctrlProp208.xml><?xml version="1.0" encoding="utf-8"?>
<formControlPr xmlns="http://schemas.microsoft.com/office/spreadsheetml/2009/9/main" objectType="GBox" noThreeD="1"/>
</file>

<file path=xl/ctrlProps/ctrlProp209.xml><?xml version="1.0" encoding="utf-8"?>
<formControlPr xmlns="http://schemas.microsoft.com/office/spreadsheetml/2009/9/main" objectType="GBox" noThreeD="1"/>
</file>

<file path=xl/ctrlProps/ctrlProp210.xml><?xml version="1.0" encoding="utf-8"?>
<formControlPr xmlns="http://schemas.microsoft.com/office/spreadsheetml/2009/9/main" objectType="GBox" noThreeD="1"/>
</file>

<file path=xl/ctrlProps/ctrlProp211.xml><?xml version="1.0" encoding="utf-8"?>
<formControlPr xmlns="http://schemas.microsoft.com/office/spreadsheetml/2009/9/main" objectType="GBox" noThreeD="1"/>
</file>

<file path=xl/ctrlProps/ctrlProp212.xml><?xml version="1.0" encoding="utf-8"?>
<formControlPr xmlns="http://schemas.microsoft.com/office/spreadsheetml/2009/9/main" objectType="GBox" noThreeD="1"/>
</file>

<file path=xl/ctrlProps/ctrlProp213.xml><?xml version="1.0" encoding="utf-8"?>
<formControlPr xmlns="http://schemas.microsoft.com/office/spreadsheetml/2009/9/main" objectType="GBox" noThreeD="1"/>
</file>

<file path=xl/ctrlProps/ctrlProp214.xml><?xml version="1.0" encoding="utf-8"?>
<formControlPr xmlns="http://schemas.microsoft.com/office/spreadsheetml/2009/9/main" objectType="GBox" noThreeD="1"/>
</file>

<file path=xl/ctrlProps/ctrlProp215.xml><?xml version="1.0" encoding="utf-8"?>
<formControlPr xmlns="http://schemas.microsoft.com/office/spreadsheetml/2009/9/main" objectType="GBox" noThreeD="1"/>
</file>

<file path=xl/ctrlProps/ctrlProp216.xml><?xml version="1.0" encoding="utf-8"?>
<formControlPr xmlns="http://schemas.microsoft.com/office/spreadsheetml/2009/9/main" objectType="GBox" noThreeD="1"/>
</file>

<file path=xl/ctrlProps/ctrlProp217.xml><?xml version="1.0" encoding="utf-8"?>
<formControlPr xmlns="http://schemas.microsoft.com/office/spreadsheetml/2009/9/main" objectType="GBox" noThreeD="1"/>
</file>

<file path=xl/ctrlProps/ctrlProp218.xml><?xml version="1.0" encoding="utf-8"?>
<formControlPr xmlns="http://schemas.microsoft.com/office/spreadsheetml/2009/9/main" objectType="GBox" noThreeD="1"/>
</file>

<file path=xl/ctrlProps/ctrlProp219.xml><?xml version="1.0" encoding="utf-8"?>
<formControlPr xmlns="http://schemas.microsoft.com/office/spreadsheetml/2009/9/main" objectType="GBox" noThreeD="1"/>
</file>

<file path=xl/ctrlProps/ctrlProp220.xml><?xml version="1.0" encoding="utf-8"?>
<formControlPr xmlns="http://schemas.microsoft.com/office/spreadsheetml/2009/9/main" objectType="GBox" noThreeD="1"/>
</file>

<file path=xl/ctrlProps/ctrlProp221.xml><?xml version="1.0" encoding="utf-8"?>
<formControlPr xmlns="http://schemas.microsoft.com/office/spreadsheetml/2009/9/main" objectType="GBox" noThreeD="1"/>
</file>

<file path=xl/ctrlProps/ctrlProp222.xml><?xml version="1.0" encoding="utf-8"?>
<formControlPr xmlns="http://schemas.microsoft.com/office/spreadsheetml/2009/9/main" objectType="GBox" noThreeD="1"/>
</file>

<file path=xl/ctrlProps/ctrlProp223.xml><?xml version="1.0" encoding="utf-8"?>
<formControlPr xmlns="http://schemas.microsoft.com/office/spreadsheetml/2009/9/main" objectType="GBox" noThreeD="1"/>
</file>

<file path=xl/ctrlProps/ctrlProp224.xml><?xml version="1.0" encoding="utf-8"?>
<formControlPr xmlns="http://schemas.microsoft.com/office/spreadsheetml/2009/9/main" objectType="GBox" noThreeD="1"/>
</file>

<file path=xl/ctrlProps/ctrlProp225.xml><?xml version="1.0" encoding="utf-8"?>
<formControlPr xmlns="http://schemas.microsoft.com/office/spreadsheetml/2009/9/main" objectType="GBox" noThreeD="1"/>
</file>

<file path=xl/ctrlProps/ctrlProp226.xml><?xml version="1.0" encoding="utf-8"?>
<formControlPr xmlns="http://schemas.microsoft.com/office/spreadsheetml/2009/9/main" objectType="GBox" noThreeD="1"/>
</file>

<file path=xl/ctrlProps/ctrlProp227.xml><?xml version="1.0" encoding="utf-8"?>
<formControlPr xmlns="http://schemas.microsoft.com/office/spreadsheetml/2009/9/main" objectType="GBox" noThreeD="1"/>
</file>

<file path=xl/ctrlProps/ctrlProp228.xml><?xml version="1.0" encoding="utf-8"?>
<formControlPr xmlns="http://schemas.microsoft.com/office/spreadsheetml/2009/9/main" objectType="GBox" noThreeD="1"/>
</file>

<file path=xl/ctrlProps/ctrlProp229.xml><?xml version="1.0" encoding="utf-8"?>
<formControlPr xmlns="http://schemas.microsoft.com/office/spreadsheetml/2009/9/main" objectType="GBox" noThreeD="1"/>
</file>

<file path=xl/ctrlProps/ctrlProp230.xml><?xml version="1.0" encoding="utf-8"?>
<formControlPr xmlns="http://schemas.microsoft.com/office/spreadsheetml/2009/9/main" objectType="GBox" noThreeD="1"/>
</file>

<file path=xl/ctrlProps/ctrlProp231.xml><?xml version="1.0" encoding="utf-8"?>
<formControlPr xmlns="http://schemas.microsoft.com/office/spreadsheetml/2009/9/main" objectType="GBox" noThreeD="1"/>
</file>

<file path=xl/ctrlProps/ctrlProp232.xml><?xml version="1.0" encoding="utf-8"?>
<formControlPr xmlns="http://schemas.microsoft.com/office/spreadsheetml/2009/9/main" objectType="GBox" noThreeD="1"/>
</file>

<file path=xl/ctrlProps/ctrlProp233.xml><?xml version="1.0" encoding="utf-8"?>
<formControlPr xmlns="http://schemas.microsoft.com/office/spreadsheetml/2009/9/main" objectType="GBox" noThreeD="1"/>
</file>

<file path=xl/ctrlProps/ctrlProp234.xml><?xml version="1.0" encoding="utf-8"?>
<formControlPr xmlns="http://schemas.microsoft.com/office/spreadsheetml/2009/9/main" objectType="GBox" noThreeD="1"/>
</file>

<file path=xl/ctrlProps/ctrlProp235.xml><?xml version="1.0" encoding="utf-8"?>
<formControlPr xmlns="http://schemas.microsoft.com/office/spreadsheetml/2009/9/main" objectType="GBox" noThreeD="1"/>
</file>

<file path=xl/ctrlProps/ctrlProp236.xml><?xml version="1.0" encoding="utf-8"?>
<formControlPr xmlns="http://schemas.microsoft.com/office/spreadsheetml/2009/9/main" objectType="GBox" noThreeD="1"/>
</file>

<file path=xl/ctrlProps/ctrlProp237.xml><?xml version="1.0" encoding="utf-8"?>
<formControlPr xmlns="http://schemas.microsoft.com/office/spreadsheetml/2009/9/main" objectType="GBox" noThreeD="1"/>
</file>

<file path=xl/ctrlProps/ctrlProp238.xml><?xml version="1.0" encoding="utf-8"?>
<formControlPr xmlns="http://schemas.microsoft.com/office/spreadsheetml/2009/9/main" objectType="GBox" noThreeD="1"/>
</file>

<file path=xl/ctrlProps/ctrlProp239.xml><?xml version="1.0" encoding="utf-8"?>
<formControlPr xmlns="http://schemas.microsoft.com/office/spreadsheetml/2009/9/main" objectType="GBox" noThreeD="1"/>
</file>

<file path=xl/ctrlProps/ctrlProp240.xml><?xml version="1.0" encoding="utf-8"?>
<formControlPr xmlns="http://schemas.microsoft.com/office/spreadsheetml/2009/9/main" objectType="GBox" noThreeD="1"/>
</file>

<file path=xl/ctrlProps/ctrlProp241.xml><?xml version="1.0" encoding="utf-8"?>
<formControlPr xmlns="http://schemas.microsoft.com/office/spreadsheetml/2009/9/main" objectType="GBox" noThreeD="1"/>
</file>

<file path=xl/ctrlProps/ctrlProp242.xml><?xml version="1.0" encoding="utf-8"?>
<formControlPr xmlns="http://schemas.microsoft.com/office/spreadsheetml/2009/9/main" objectType="GBox" noThreeD="1"/>
</file>

<file path=xl/ctrlProps/ctrlProp243.xml><?xml version="1.0" encoding="utf-8"?>
<formControlPr xmlns="http://schemas.microsoft.com/office/spreadsheetml/2009/9/main" objectType="GBox" noThreeD="1"/>
</file>

<file path=xl/ctrlProps/ctrlProp244.xml><?xml version="1.0" encoding="utf-8"?>
<formControlPr xmlns="http://schemas.microsoft.com/office/spreadsheetml/2009/9/main" objectType="GBox" noThreeD="1"/>
</file>

<file path=xl/ctrlProps/ctrlProp245.xml><?xml version="1.0" encoding="utf-8"?>
<formControlPr xmlns="http://schemas.microsoft.com/office/spreadsheetml/2009/9/main" objectType="GBox" noThreeD="1"/>
</file>

<file path=xl/ctrlProps/ctrlProp246.xml><?xml version="1.0" encoding="utf-8"?>
<formControlPr xmlns="http://schemas.microsoft.com/office/spreadsheetml/2009/9/main" objectType="GBox" noThreeD="1"/>
</file>

<file path=xl/ctrlProps/ctrlProp247.xml><?xml version="1.0" encoding="utf-8"?>
<formControlPr xmlns="http://schemas.microsoft.com/office/spreadsheetml/2009/9/main" objectType="GBox" noThreeD="1"/>
</file>

<file path=xl/ctrlProps/ctrlProp248.xml><?xml version="1.0" encoding="utf-8"?>
<formControlPr xmlns="http://schemas.microsoft.com/office/spreadsheetml/2009/9/main" objectType="GBox" noThreeD="1"/>
</file>

<file path=xl/ctrlProps/ctrlProp249.xml><?xml version="1.0" encoding="utf-8"?>
<formControlPr xmlns="http://schemas.microsoft.com/office/spreadsheetml/2009/9/main" objectType="GBox" noThreeD="1"/>
</file>

<file path=xl/ctrlProps/ctrlProp250.xml><?xml version="1.0" encoding="utf-8"?>
<formControlPr xmlns="http://schemas.microsoft.com/office/spreadsheetml/2009/9/main" objectType="GBox" noThreeD="1"/>
</file>

<file path=xl/ctrlProps/ctrlProp251.xml><?xml version="1.0" encoding="utf-8"?>
<formControlPr xmlns="http://schemas.microsoft.com/office/spreadsheetml/2009/9/main" objectType="GBox" noThreeD="1"/>
</file>

<file path=xl/ctrlProps/ctrlProp252.xml><?xml version="1.0" encoding="utf-8"?>
<formControlPr xmlns="http://schemas.microsoft.com/office/spreadsheetml/2009/9/main" objectType="GBox" noThreeD="1"/>
</file>

<file path=xl/ctrlProps/ctrlProp253.xml><?xml version="1.0" encoding="utf-8"?>
<formControlPr xmlns="http://schemas.microsoft.com/office/spreadsheetml/2009/9/main" objectType="GBox" noThreeD="1"/>
</file>

<file path=xl/ctrlProps/ctrlProp254.xml><?xml version="1.0" encoding="utf-8"?>
<formControlPr xmlns="http://schemas.microsoft.com/office/spreadsheetml/2009/9/main" objectType="GBox" noThreeD="1"/>
</file>

<file path=xl/ctrlProps/ctrlProp255.xml><?xml version="1.0" encoding="utf-8"?>
<formControlPr xmlns="http://schemas.microsoft.com/office/spreadsheetml/2009/9/main" objectType="GBox" noThreeD="1"/>
</file>

<file path=xl/ctrlProps/ctrlProp256.xml><?xml version="1.0" encoding="utf-8"?>
<formControlPr xmlns="http://schemas.microsoft.com/office/spreadsheetml/2009/9/main" objectType="GBox" noThreeD="1"/>
</file>

<file path=xl/ctrlProps/ctrlProp257.xml><?xml version="1.0" encoding="utf-8"?>
<formControlPr xmlns="http://schemas.microsoft.com/office/spreadsheetml/2009/9/main" objectType="GBox" noThreeD="1"/>
</file>

<file path=xl/ctrlProps/ctrlProp258.xml><?xml version="1.0" encoding="utf-8"?>
<formControlPr xmlns="http://schemas.microsoft.com/office/spreadsheetml/2009/9/main" objectType="GBox" noThreeD="1"/>
</file>

<file path=xl/ctrlProps/ctrlProp259.xml><?xml version="1.0" encoding="utf-8"?>
<formControlPr xmlns="http://schemas.microsoft.com/office/spreadsheetml/2009/9/main" objectType="GBox" noThreeD="1"/>
</file>

<file path=xl/ctrlProps/ctrlProp260.xml><?xml version="1.0" encoding="utf-8"?>
<formControlPr xmlns="http://schemas.microsoft.com/office/spreadsheetml/2009/9/main" objectType="GBox" noThreeD="1"/>
</file>

<file path=xl/ctrlProps/ctrlProp261.xml><?xml version="1.0" encoding="utf-8"?>
<formControlPr xmlns="http://schemas.microsoft.com/office/spreadsheetml/2009/9/main" objectType="GBox" noThreeD="1"/>
</file>

<file path=xl/ctrlProps/ctrlProp262.xml><?xml version="1.0" encoding="utf-8"?>
<formControlPr xmlns="http://schemas.microsoft.com/office/spreadsheetml/2009/9/main" objectType="GBox" noThreeD="1"/>
</file>

<file path=xl/ctrlProps/ctrlProp263.xml><?xml version="1.0" encoding="utf-8"?>
<formControlPr xmlns="http://schemas.microsoft.com/office/spreadsheetml/2009/9/main" objectType="GBox" noThreeD="1"/>
</file>

<file path=xl/ctrlProps/ctrlProp264.xml><?xml version="1.0" encoding="utf-8"?>
<formControlPr xmlns="http://schemas.microsoft.com/office/spreadsheetml/2009/9/main" objectType="GBox" noThreeD="1"/>
</file>

<file path=xl/ctrlProps/ctrlProp265.xml><?xml version="1.0" encoding="utf-8"?>
<formControlPr xmlns="http://schemas.microsoft.com/office/spreadsheetml/2009/9/main" objectType="GBox" noThreeD="1"/>
</file>

<file path=xl/ctrlProps/ctrlProp266.xml><?xml version="1.0" encoding="utf-8"?>
<formControlPr xmlns="http://schemas.microsoft.com/office/spreadsheetml/2009/9/main" objectType="GBox" noThreeD="1"/>
</file>

<file path=xl/ctrlProps/ctrlProp267.xml><?xml version="1.0" encoding="utf-8"?>
<formControlPr xmlns="http://schemas.microsoft.com/office/spreadsheetml/2009/9/main" objectType="GBox" noThreeD="1"/>
</file>

<file path=xl/ctrlProps/ctrlProp268.xml><?xml version="1.0" encoding="utf-8"?>
<formControlPr xmlns="http://schemas.microsoft.com/office/spreadsheetml/2009/9/main" objectType="GBox" noThreeD="1"/>
</file>

<file path=xl/ctrlProps/ctrlProp269.xml><?xml version="1.0" encoding="utf-8"?>
<formControlPr xmlns="http://schemas.microsoft.com/office/spreadsheetml/2009/9/main" objectType="GBox" noThreeD="1"/>
</file>

<file path=xl/ctrlProps/ctrlProp270.xml><?xml version="1.0" encoding="utf-8"?>
<formControlPr xmlns="http://schemas.microsoft.com/office/spreadsheetml/2009/9/main" objectType="GBox" noThreeD="1"/>
</file>

<file path=xl/ctrlProps/ctrlProp271.xml><?xml version="1.0" encoding="utf-8"?>
<formControlPr xmlns="http://schemas.microsoft.com/office/spreadsheetml/2009/9/main" objectType="GBox" noThreeD="1"/>
</file>

<file path=xl/ctrlProps/ctrlProp272.xml><?xml version="1.0" encoding="utf-8"?>
<formControlPr xmlns="http://schemas.microsoft.com/office/spreadsheetml/2009/9/main" objectType="GBox" noThreeD="1"/>
</file>

<file path=xl/ctrlProps/ctrlProp273.xml><?xml version="1.0" encoding="utf-8"?>
<formControlPr xmlns="http://schemas.microsoft.com/office/spreadsheetml/2009/9/main" objectType="GBox" noThreeD="1"/>
</file>

<file path=xl/ctrlProps/ctrlProp274.xml><?xml version="1.0" encoding="utf-8"?>
<formControlPr xmlns="http://schemas.microsoft.com/office/spreadsheetml/2009/9/main" objectType="GBox" noThreeD="1"/>
</file>

<file path=xl/ctrlProps/ctrlProp275.xml><?xml version="1.0" encoding="utf-8"?>
<formControlPr xmlns="http://schemas.microsoft.com/office/spreadsheetml/2009/9/main" objectType="GBox" noThreeD="1"/>
</file>

<file path=xl/ctrlProps/ctrlProp276.xml><?xml version="1.0" encoding="utf-8"?>
<formControlPr xmlns="http://schemas.microsoft.com/office/spreadsheetml/2009/9/main" objectType="GBox" noThreeD="1"/>
</file>

<file path=xl/ctrlProps/ctrlProp277.xml><?xml version="1.0" encoding="utf-8"?>
<formControlPr xmlns="http://schemas.microsoft.com/office/spreadsheetml/2009/9/main" objectType="GBox" noThreeD="1"/>
</file>

<file path=xl/ctrlProps/ctrlProp278.xml><?xml version="1.0" encoding="utf-8"?>
<formControlPr xmlns="http://schemas.microsoft.com/office/spreadsheetml/2009/9/main" objectType="GBox" noThreeD="1"/>
</file>

<file path=xl/ctrlProps/ctrlProp279.xml><?xml version="1.0" encoding="utf-8"?>
<formControlPr xmlns="http://schemas.microsoft.com/office/spreadsheetml/2009/9/main" objectType="GBox" noThreeD="1"/>
</file>

<file path=xl/ctrlProps/ctrlProp280.xml><?xml version="1.0" encoding="utf-8"?>
<formControlPr xmlns="http://schemas.microsoft.com/office/spreadsheetml/2009/9/main" objectType="GBox" noThreeD="1"/>
</file>

<file path=xl/ctrlProps/ctrlProp281.xml><?xml version="1.0" encoding="utf-8"?>
<formControlPr xmlns="http://schemas.microsoft.com/office/spreadsheetml/2009/9/main" objectType="GBox" noThreeD="1"/>
</file>

<file path=xl/ctrlProps/ctrlProp282.xml><?xml version="1.0" encoding="utf-8"?>
<formControlPr xmlns="http://schemas.microsoft.com/office/spreadsheetml/2009/9/main" objectType="GBox" noThreeD="1"/>
</file>

<file path=xl/ctrlProps/ctrlProp283.xml><?xml version="1.0" encoding="utf-8"?>
<formControlPr xmlns="http://schemas.microsoft.com/office/spreadsheetml/2009/9/main" objectType="GBox" noThreeD="1"/>
</file>

<file path=xl/ctrlProps/ctrlProp284.xml><?xml version="1.0" encoding="utf-8"?>
<formControlPr xmlns="http://schemas.microsoft.com/office/spreadsheetml/2009/9/main" objectType="GBox" noThreeD="1"/>
</file>

<file path=xl/ctrlProps/ctrlProp285.xml><?xml version="1.0" encoding="utf-8"?>
<formControlPr xmlns="http://schemas.microsoft.com/office/spreadsheetml/2009/9/main" objectType="GBox" noThreeD="1"/>
</file>

<file path=xl/ctrlProps/ctrlProp286.xml><?xml version="1.0" encoding="utf-8"?>
<formControlPr xmlns="http://schemas.microsoft.com/office/spreadsheetml/2009/9/main" objectType="GBox" noThreeD="1"/>
</file>

<file path=xl/ctrlProps/ctrlProp287.xml><?xml version="1.0" encoding="utf-8"?>
<formControlPr xmlns="http://schemas.microsoft.com/office/spreadsheetml/2009/9/main" objectType="GBox" noThreeD="1"/>
</file>

<file path=xl/ctrlProps/ctrlProp288.xml><?xml version="1.0" encoding="utf-8"?>
<formControlPr xmlns="http://schemas.microsoft.com/office/spreadsheetml/2009/9/main" objectType="GBox" noThreeD="1"/>
</file>

<file path=xl/ctrlProps/ctrlProp289.xml><?xml version="1.0" encoding="utf-8"?>
<formControlPr xmlns="http://schemas.microsoft.com/office/spreadsheetml/2009/9/main" objectType="GBox" noThreeD="1"/>
</file>

<file path=xl/ctrlProps/ctrlProp290.xml><?xml version="1.0" encoding="utf-8"?>
<formControlPr xmlns="http://schemas.microsoft.com/office/spreadsheetml/2009/9/main" objectType="GBox" noThreeD="1"/>
</file>

<file path=xl/ctrlProps/ctrlProp291.xml><?xml version="1.0" encoding="utf-8"?>
<formControlPr xmlns="http://schemas.microsoft.com/office/spreadsheetml/2009/9/main" objectType="GBox" noThreeD="1"/>
</file>

<file path=xl/ctrlProps/ctrlProp292.xml><?xml version="1.0" encoding="utf-8"?>
<formControlPr xmlns="http://schemas.microsoft.com/office/spreadsheetml/2009/9/main" objectType="GBox" noThreeD="1"/>
</file>

<file path=xl/ctrlProps/ctrlProp293.xml><?xml version="1.0" encoding="utf-8"?>
<formControlPr xmlns="http://schemas.microsoft.com/office/spreadsheetml/2009/9/main" objectType="GBox" noThreeD="1"/>
</file>

<file path=xl/ctrlProps/ctrlProp294.xml><?xml version="1.0" encoding="utf-8"?>
<formControlPr xmlns="http://schemas.microsoft.com/office/spreadsheetml/2009/9/main" objectType="GBox" noThreeD="1"/>
</file>

<file path=xl/ctrlProps/ctrlProp295.xml><?xml version="1.0" encoding="utf-8"?>
<formControlPr xmlns="http://schemas.microsoft.com/office/spreadsheetml/2009/9/main" objectType="GBox" noThreeD="1"/>
</file>

<file path=xl/ctrlProps/ctrlProp296.xml><?xml version="1.0" encoding="utf-8"?>
<formControlPr xmlns="http://schemas.microsoft.com/office/spreadsheetml/2009/9/main" objectType="GBox" noThreeD="1"/>
</file>

<file path=xl/ctrlProps/ctrlProp297.xml><?xml version="1.0" encoding="utf-8"?>
<formControlPr xmlns="http://schemas.microsoft.com/office/spreadsheetml/2009/9/main" objectType="GBox" noThreeD="1"/>
</file>

<file path=xl/ctrlProps/ctrlProp298.xml><?xml version="1.0" encoding="utf-8"?>
<formControlPr xmlns="http://schemas.microsoft.com/office/spreadsheetml/2009/9/main" objectType="GBox" noThreeD="1"/>
</file>

<file path=xl/ctrlProps/ctrlProp299.xml><?xml version="1.0" encoding="utf-8"?>
<formControlPr xmlns="http://schemas.microsoft.com/office/spreadsheetml/2009/9/main" objectType="GBox" noThreeD="1"/>
</file>

<file path=xl/ctrlProps/ctrlProp300.xml><?xml version="1.0" encoding="utf-8"?>
<formControlPr xmlns="http://schemas.microsoft.com/office/spreadsheetml/2009/9/main" objectType="GBox" noThreeD="1"/>
</file>

<file path=xl/ctrlProps/ctrlProp301.xml><?xml version="1.0" encoding="utf-8"?>
<formControlPr xmlns="http://schemas.microsoft.com/office/spreadsheetml/2009/9/main" objectType="GBox" noThreeD="1"/>
</file>

<file path=xl/ctrlProps/ctrlProp302.xml><?xml version="1.0" encoding="utf-8"?>
<formControlPr xmlns="http://schemas.microsoft.com/office/spreadsheetml/2009/9/main" objectType="GBox" noThreeD="1"/>
</file>

<file path=xl/ctrlProps/ctrlProp303.xml><?xml version="1.0" encoding="utf-8"?>
<formControlPr xmlns="http://schemas.microsoft.com/office/spreadsheetml/2009/9/main" objectType="GBox" noThreeD="1"/>
</file>

<file path=xl/ctrlProps/ctrlProp304.xml><?xml version="1.0" encoding="utf-8"?>
<formControlPr xmlns="http://schemas.microsoft.com/office/spreadsheetml/2009/9/main" objectType="GBox" noThreeD="1"/>
</file>

<file path=xl/ctrlProps/ctrlProp305.xml><?xml version="1.0" encoding="utf-8"?>
<formControlPr xmlns="http://schemas.microsoft.com/office/spreadsheetml/2009/9/main" objectType="GBox" noThreeD="1"/>
</file>

<file path=xl/ctrlProps/ctrlProp306.xml><?xml version="1.0" encoding="utf-8"?>
<formControlPr xmlns="http://schemas.microsoft.com/office/spreadsheetml/2009/9/main" objectType="GBox" noThreeD="1"/>
</file>

<file path=xl/ctrlProps/ctrlProp307.xml><?xml version="1.0" encoding="utf-8"?>
<formControlPr xmlns="http://schemas.microsoft.com/office/spreadsheetml/2009/9/main" objectType="GBox" noThreeD="1"/>
</file>

<file path=xl/ctrlProps/ctrlProp308.xml><?xml version="1.0" encoding="utf-8"?>
<formControlPr xmlns="http://schemas.microsoft.com/office/spreadsheetml/2009/9/main" objectType="GBox" noThreeD="1"/>
</file>

<file path=xl/ctrlProps/ctrlProp309.xml><?xml version="1.0" encoding="utf-8"?>
<formControlPr xmlns="http://schemas.microsoft.com/office/spreadsheetml/2009/9/main" objectType="GBox" noThreeD="1"/>
</file>

<file path=xl/ctrlProps/ctrlProp310.xml><?xml version="1.0" encoding="utf-8"?>
<formControlPr xmlns="http://schemas.microsoft.com/office/spreadsheetml/2009/9/main" objectType="GBox" noThreeD="1"/>
</file>

<file path=xl/ctrlProps/ctrlProp311.xml><?xml version="1.0" encoding="utf-8"?>
<formControlPr xmlns="http://schemas.microsoft.com/office/spreadsheetml/2009/9/main" objectType="GBox" noThreeD="1"/>
</file>

<file path=xl/ctrlProps/ctrlProp312.xml><?xml version="1.0" encoding="utf-8"?>
<formControlPr xmlns="http://schemas.microsoft.com/office/spreadsheetml/2009/9/main" objectType="GBox" noThreeD="1"/>
</file>

<file path=xl/ctrlProps/ctrlProp313.xml><?xml version="1.0" encoding="utf-8"?>
<formControlPr xmlns="http://schemas.microsoft.com/office/spreadsheetml/2009/9/main" objectType="GBox" noThreeD="1"/>
</file>

<file path=xl/ctrlProps/ctrlProp314.xml><?xml version="1.0" encoding="utf-8"?>
<formControlPr xmlns="http://schemas.microsoft.com/office/spreadsheetml/2009/9/main" objectType="GBox" noThreeD="1"/>
</file>

<file path=xl/ctrlProps/ctrlProp315.xml><?xml version="1.0" encoding="utf-8"?>
<formControlPr xmlns="http://schemas.microsoft.com/office/spreadsheetml/2009/9/main" objectType="GBox" noThreeD="1"/>
</file>

<file path=xl/ctrlProps/ctrlProp316.xml><?xml version="1.0" encoding="utf-8"?>
<formControlPr xmlns="http://schemas.microsoft.com/office/spreadsheetml/2009/9/main" objectType="GBox" noThreeD="1"/>
</file>

<file path=xl/ctrlProps/ctrlProp317.xml><?xml version="1.0" encoding="utf-8"?>
<formControlPr xmlns="http://schemas.microsoft.com/office/spreadsheetml/2009/9/main" objectType="GBox" noThreeD="1"/>
</file>

<file path=xl/ctrlProps/ctrlProp318.xml><?xml version="1.0" encoding="utf-8"?>
<formControlPr xmlns="http://schemas.microsoft.com/office/spreadsheetml/2009/9/main" objectType="GBox" noThreeD="1"/>
</file>

<file path=xl/ctrlProps/ctrlProp319.xml><?xml version="1.0" encoding="utf-8"?>
<formControlPr xmlns="http://schemas.microsoft.com/office/spreadsheetml/2009/9/main" objectType="GBox" noThreeD="1"/>
</file>

<file path=xl/ctrlProps/ctrlProp320.xml><?xml version="1.0" encoding="utf-8"?>
<formControlPr xmlns="http://schemas.microsoft.com/office/spreadsheetml/2009/9/main" objectType="GBox" noThreeD="1"/>
</file>

<file path=xl/ctrlProps/ctrlProp321.xml><?xml version="1.0" encoding="utf-8"?>
<formControlPr xmlns="http://schemas.microsoft.com/office/spreadsheetml/2009/9/main" objectType="GBox" noThreeD="1"/>
</file>

<file path=xl/ctrlProps/ctrlProp322.xml><?xml version="1.0" encoding="utf-8"?>
<formControlPr xmlns="http://schemas.microsoft.com/office/spreadsheetml/2009/9/main" objectType="GBox" noThreeD="1"/>
</file>

<file path=xl/ctrlProps/ctrlProp323.xml><?xml version="1.0" encoding="utf-8"?>
<formControlPr xmlns="http://schemas.microsoft.com/office/spreadsheetml/2009/9/main" objectType="GBox" noThreeD="1"/>
</file>

<file path=xl/ctrlProps/ctrlProp324.xml><?xml version="1.0" encoding="utf-8"?>
<formControlPr xmlns="http://schemas.microsoft.com/office/spreadsheetml/2009/9/main" objectType="GBox" noThreeD="1"/>
</file>

<file path=xl/ctrlProps/ctrlProp325.xml><?xml version="1.0" encoding="utf-8"?>
<formControlPr xmlns="http://schemas.microsoft.com/office/spreadsheetml/2009/9/main" objectType="GBox" noThreeD="1"/>
</file>

<file path=xl/ctrlProps/ctrlProp326.xml><?xml version="1.0" encoding="utf-8"?>
<formControlPr xmlns="http://schemas.microsoft.com/office/spreadsheetml/2009/9/main" objectType="GBox" noThreeD="1"/>
</file>

<file path=xl/ctrlProps/ctrlProp327.xml><?xml version="1.0" encoding="utf-8"?>
<formControlPr xmlns="http://schemas.microsoft.com/office/spreadsheetml/2009/9/main" objectType="GBox" noThreeD="1"/>
</file>

<file path=xl/ctrlProps/ctrlProp328.xml><?xml version="1.0" encoding="utf-8"?>
<formControlPr xmlns="http://schemas.microsoft.com/office/spreadsheetml/2009/9/main" objectType="GBox" noThreeD="1"/>
</file>

<file path=xl/ctrlProps/ctrlProp329.xml><?xml version="1.0" encoding="utf-8"?>
<formControlPr xmlns="http://schemas.microsoft.com/office/spreadsheetml/2009/9/main" objectType="GBox" noThreeD="1"/>
</file>

<file path=xl/ctrlProps/ctrlProp330.xml><?xml version="1.0" encoding="utf-8"?>
<formControlPr xmlns="http://schemas.microsoft.com/office/spreadsheetml/2009/9/main" objectType="GBox" noThreeD="1"/>
</file>

<file path=xl/ctrlProps/ctrlProp331.xml><?xml version="1.0" encoding="utf-8"?>
<formControlPr xmlns="http://schemas.microsoft.com/office/spreadsheetml/2009/9/main" objectType="GBox" noThreeD="1"/>
</file>

<file path=xl/ctrlProps/ctrlProp332.xml><?xml version="1.0" encoding="utf-8"?>
<formControlPr xmlns="http://schemas.microsoft.com/office/spreadsheetml/2009/9/main" objectType="GBox" noThreeD="1"/>
</file>

<file path=xl/ctrlProps/ctrlProp333.xml><?xml version="1.0" encoding="utf-8"?>
<formControlPr xmlns="http://schemas.microsoft.com/office/spreadsheetml/2009/9/main" objectType="GBox" noThreeD="1"/>
</file>

<file path=xl/ctrlProps/ctrlProp334.xml><?xml version="1.0" encoding="utf-8"?>
<formControlPr xmlns="http://schemas.microsoft.com/office/spreadsheetml/2009/9/main" objectType="GBox" noThreeD="1"/>
</file>

<file path=xl/ctrlProps/ctrlProp335.xml><?xml version="1.0" encoding="utf-8"?>
<formControlPr xmlns="http://schemas.microsoft.com/office/spreadsheetml/2009/9/main" objectType="GBox" noThreeD="1"/>
</file>

<file path=xl/ctrlProps/ctrlProp336.xml><?xml version="1.0" encoding="utf-8"?>
<formControlPr xmlns="http://schemas.microsoft.com/office/spreadsheetml/2009/9/main" objectType="GBox" noThreeD="1"/>
</file>

<file path=xl/ctrlProps/ctrlProp337.xml><?xml version="1.0" encoding="utf-8"?>
<formControlPr xmlns="http://schemas.microsoft.com/office/spreadsheetml/2009/9/main" objectType="GBox" noThreeD="1"/>
</file>

<file path=xl/ctrlProps/ctrlProp338.xml><?xml version="1.0" encoding="utf-8"?>
<formControlPr xmlns="http://schemas.microsoft.com/office/spreadsheetml/2009/9/main" objectType="GBox" noThreeD="1"/>
</file>

<file path=xl/ctrlProps/ctrlProp339.xml><?xml version="1.0" encoding="utf-8"?>
<formControlPr xmlns="http://schemas.microsoft.com/office/spreadsheetml/2009/9/main" objectType="GBox" noThreeD="1"/>
</file>

<file path=xl/ctrlProps/ctrlProp340.xml><?xml version="1.0" encoding="utf-8"?>
<formControlPr xmlns="http://schemas.microsoft.com/office/spreadsheetml/2009/9/main" objectType="GBox" noThreeD="1"/>
</file>

<file path=xl/ctrlProps/ctrlProp341.xml><?xml version="1.0" encoding="utf-8"?>
<formControlPr xmlns="http://schemas.microsoft.com/office/spreadsheetml/2009/9/main" objectType="GBox" noThreeD="1"/>
</file>

<file path=xl/ctrlProps/ctrlProp342.xml><?xml version="1.0" encoding="utf-8"?>
<formControlPr xmlns="http://schemas.microsoft.com/office/spreadsheetml/2009/9/main" objectType="GBox" noThreeD="1"/>
</file>

<file path=xl/ctrlProps/ctrlProp343.xml><?xml version="1.0" encoding="utf-8"?>
<formControlPr xmlns="http://schemas.microsoft.com/office/spreadsheetml/2009/9/main" objectType="GBox" noThreeD="1"/>
</file>

<file path=xl/ctrlProps/ctrlProp344.xml><?xml version="1.0" encoding="utf-8"?>
<formControlPr xmlns="http://schemas.microsoft.com/office/spreadsheetml/2009/9/main" objectType="GBox" noThreeD="1"/>
</file>

<file path=xl/ctrlProps/ctrlProp345.xml><?xml version="1.0" encoding="utf-8"?>
<formControlPr xmlns="http://schemas.microsoft.com/office/spreadsheetml/2009/9/main" objectType="GBox" noThreeD="1"/>
</file>

<file path=xl/ctrlProps/ctrlProp346.xml><?xml version="1.0" encoding="utf-8"?>
<formControlPr xmlns="http://schemas.microsoft.com/office/spreadsheetml/2009/9/main" objectType="GBox" noThreeD="1"/>
</file>

<file path=xl/ctrlProps/ctrlProp347.xml><?xml version="1.0" encoding="utf-8"?>
<formControlPr xmlns="http://schemas.microsoft.com/office/spreadsheetml/2009/9/main" objectType="GBox" noThreeD="1"/>
</file>

<file path=xl/ctrlProps/ctrlProp348.xml><?xml version="1.0" encoding="utf-8"?>
<formControlPr xmlns="http://schemas.microsoft.com/office/spreadsheetml/2009/9/main" objectType="GBox" noThreeD="1"/>
</file>

<file path=xl/ctrlProps/ctrlProp349.xml><?xml version="1.0" encoding="utf-8"?>
<formControlPr xmlns="http://schemas.microsoft.com/office/spreadsheetml/2009/9/main" objectType="GBox" noThreeD="1"/>
</file>

<file path=xl/ctrlProps/ctrlProp350.xml><?xml version="1.0" encoding="utf-8"?>
<formControlPr xmlns="http://schemas.microsoft.com/office/spreadsheetml/2009/9/main" objectType="GBox" noThreeD="1"/>
</file>

<file path=xl/ctrlProps/ctrlProp351.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57150</xdr:colOff>
          <xdr:row>9</xdr:row>
          <xdr:rowOff>19050</xdr:rowOff>
        </xdr:from>
        <xdr:to>
          <xdr:col>10</xdr:col>
          <xdr:colOff>781050</xdr:colOff>
          <xdr:row>10</xdr:row>
          <xdr:rowOff>0</xdr:rowOff>
        </xdr:to>
        <xdr:sp macro="" textlink="">
          <xdr:nvSpPr>
            <xdr:cNvPr id="1603" name="Speichern" hidden="1">
              <a:extLst>
                <a:ext uri="{63B3BB69-23CF-44E3-9099-C40C66FF867C}">
                  <a14:compatExt spid="_x0000_s1603"/>
                </a:ext>
                <a:ext uri="{FF2B5EF4-FFF2-40B4-BE49-F238E27FC236}">
                  <a16:creationId xmlns:a16="http://schemas.microsoft.com/office/drawing/2014/main" id="{00000000-0008-0000-0000-0000430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100" b="0" i="0" u="none" strike="noStrike" baseline="0">
                  <a:solidFill>
                    <a:srgbClr val="000000"/>
                  </a:solidFill>
                  <a:latin typeface="Arial"/>
                  <a:cs typeface="Arial"/>
                </a:rPr>
                <a:t>Speichern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55</xdr:row>
          <xdr:rowOff>0</xdr:rowOff>
        </xdr:from>
        <xdr:to>
          <xdr:col>2</xdr:col>
          <xdr:colOff>0</xdr:colOff>
          <xdr:row>57</xdr:row>
          <xdr:rowOff>0</xdr:rowOff>
        </xdr:to>
        <xdr:sp macro="" textlink="">
          <xdr:nvSpPr>
            <xdr:cNvPr id="1078" name="Group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57</xdr:row>
          <xdr:rowOff>0</xdr:rowOff>
        </xdr:from>
        <xdr:to>
          <xdr:col>2</xdr:col>
          <xdr:colOff>0</xdr:colOff>
          <xdr:row>59</xdr:row>
          <xdr:rowOff>0</xdr:rowOff>
        </xdr:to>
        <xdr:sp macro="" textlink="">
          <xdr:nvSpPr>
            <xdr:cNvPr id="1085" name="Group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110</xdr:row>
          <xdr:rowOff>0</xdr:rowOff>
        </xdr:from>
        <xdr:to>
          <xdr:col>6</xdr:col>
          <xdr:colOff>0</xdr:colOff>
          <xdr:row>112</xdr:row>
          <xdr:rowOff>0</xdr:rowOff>
        </xdr:to>
        <xdr:sp macro="" textlink="">
          <xdr:nvSpPr>
            <xdr:cNvPr id="1916" name="Group Box 892" hidden="1">
              <a:extLst>
                <a:ext uri="{63B3BB69-23CF-44E3-9099-C40C66FF867C}">
                  <a14:compatExt spid="_x0000_s1916"/>
                </a:ext>
                <a:ext uri="{FF2B5EF4-FFF2-40B4-BE49-F238E27FC236}">
                  <a16:creationId xmlns:a16="http://schemas.microsoft.com/office/drawing/2014/main" id="{00000000-0008-0000-0000-00007C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111</xdr:row>
          <xdr:rowOff>0</xdr:rowOff>
        </xdr:from>
        <xdr:to>
          <xdr:col>6</xdr:col>
          <xdr:colOff>0</xdr:colOff>
          <xdr:row>113</xdr:row>
          <xdr:rowOff>0</xdr:rowOff>
        </xdr:to>
        <xdr:sp macro="" textlink="">
          <xdr:nvSpPr>
            <xdr:cNvPr id="1918" name="Group Box 894" hidden="1">
              <a:extLst>
                <a:ext uri="{63B3BB69-23CF-44E3-9099-C40C66FF867C}">
                  <a14:compatExt spid="_x0000_s1918"/>
                </a:ext>
                <a:ext uri="{FF2B5EF4-FFF2-40B4-BE49-F238E27FC236}">
                  <a16:creationId xmlns:a16="http://schemas.microsoft.com/office/drawing/2014/main" id="{00000000-0008-0000-0000-00007E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112</xdr:row>
          <xdr:rowOff>0</xdr:rowOff>
        </xdr:from>
        <xdr:to>
          <xdr:col>5</xdr:col>
          <xdr:colOff>781050</xdr:colOff>
          <xdr:row>114</xdr:row>
          <xdr:rowOff>0</xdr:rowOff>
        </xdr:to>
        <xdr:sp macro="" textlink="">
          <xdr:nvSpPr>
            <xdr:cNvPr id="1919" name="Group Box 895" hidden="1">
              <a:extLst>
                <a:ext uri="{63B3BB69-23CF-44E3-9099-C40C66FF867C}">
                  <a14:compatExt spid="_x0000_s1919"/>
                </a:ext>
                <a:ext uri="{FF2B5EF4-FFF2-40B4-BE49-F238E27FC236}">
                  <a16:creationId xmlns:a16="http://schemas.microsoft.com/office/drawing/2014/main" id="{00000000-0008-0000-0000-00007F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115</xdr:row>
          <xdr:rowOff>0</xdr:rowOff>
        </xdr:from>
        <xdr:to>
          <xdr:col>6</xdr:col>
          <xdr:colOff>0</xdr:colOff>
          <xdr:row>116</xdr:row>
          <xdr:rowOff>0</xdr:rowOff>
        </xdr:to>
        <xdr:sp macro="" textlink="">
          <xdr:nvSpPr>
            <xdr:cNvPr id="1926" name="Group Box 902" hidden="1">
              <a:extLst>
                <a:ext uri="{63B3BB69-23CF-44E3-9099-C40C66FF867C}">
                  <a14:compatExt spid="_x0000_s1926"/>
                </a:ext>
                <a:ext uri="{FF2B5EF4-FFF2-40B4-BE49-F238E27FC236}">
                  <a16:creationId xmlns:a16="http://schemas.microsoft.com/office/drawing/2014/main" id="{00000000-0008-0000-0000-000086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115</xdr:row>
          <xdr:rowOff>0</xdr:rowOff>
        </xdr:from>
        <xdr:to>
          <xdr:col>6</xdr:col>
          <xdr:colOff>0</xdr:colOff>
          <xdr:row>116</xdr:row>
          <xdr:rowOff>0</xdr:rowOff>
        </xdr:to>
        <xdr:sp macro="" textlink="">
          <xdr:nvSpPr>
            <xdr:cNvPr id="1927" name="Group Box 903" hidden="1">
              <a:extLst>
                <a:ext uri="{63B3BB69-23CF-44E3-9099-C40C66FF867C}">
                  <a14:compatExt spid="_x0000_s1927"/>
                </a:ext>
                <a:ext uri="{FF2B5EF4-FFF2-40B4-BE49-F238E27FC236}">
                  <a16:creationId xmlns:a16="http://schemas.microsoft.com/office/drawing/2014/main" id="{00000000-0008-0000-0000-000087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116</xdr:row>
          <xdr:rowOff>0</xdr:rowOff>
        </xdr:from>
        <xdr:to>
          <xdr:col>6</xdr:col>
          <xdr:colOff>0</xdr:colOff>
          <xdr:row>118</xdr:row>
          <xdr:rowOff>0</xdr:rowOff>
        </xdr:to>
        <xdr:sp macro="" textlink="">
          <xdr:nvSpPr>
            <xdr:cNvPr id="1931" name="Group Box 907" hidden="1">
              <a:extLst>
                <a:ext uri="{63B3BB69-23CF-44E3-9099-C40C66FF867C}">
                  <a14:compatExt spid="_x0000_s1931"/>
                </a:ext>
                <a:ext uri="{FF2B5EF4-FFF2-40B4-BE49-F238E27FC236}">
                  <a16:creationId xmlns:a16="http://schemas.microsoft.com/office/drawing/2014/main" id="{00000000-0008-0000-0000-00008B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129</xdr:row>
          <xdr:rowOff>0</xdr:rowOff>
        </xdr:from>
        <xdr:to>
          <xdr:col>6</xdr:col>
          <xdr:colOff>0</xdr:colOff>
          <xdr:row>131</xdr:row>
          <xdr:rowOff>0</xdr:rowOff>
        </xdr:to>
        <xdr:sp macro="" textlink="">
          <xdr:nvSpPr>
            <xdr:cNvPr id="1936" name="Group Box 912" hidden="1">
              <a:extLst>
                <a:ext uri="{63B3BB69-23CF-44E3-9099-C40C66FF867C}">
                  <a14:compatExt spid="_x0000_s1936"/>
                </a:ext>
                <a:ext uri="{FF2B5EF4-FFF2-40B4-BE49-F238E27FC236}">
                  <a16:creationId xmlns:a16="http://schemas.microsoft.com/office/drawing/2014/main" id="{00000000-0008-0000-0000-000090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129</xdr:row>
          <xdr:rowOff>0</xdr:rowOff>
        </xdr:from>
        <xdr:to>
          <xdr:col>6</xdr:col>
          <xdr:colOff>0</xdr:colOff>
          <xdr:row>131</xdr:row>
          <xdr:rowOff>0</xdr:rowOff>
        </xdr:to>
        <xdr:sp macro="" textlink="">
          <xdr:nvSpPr>
            <xdr:cNvPr id="1937" name="Group Box 913" hidden="1">
              <a:extLst>
                <a:ext uri="{63B3BB69-23CF-44E3-9099-C40C66FF867C}">
                  <a14:compatExt spid="_x0000_s1937"/>
                </a:ext>
                <a:ext uri="{FF2B5EF4-FFF2-40B4-BE49-F238E27FC236}">
                  <a16:creationId xmlns:a16="http://schemas.microsoft.com/office/drawing/2014/main" id="{00000000-0008-0000-0000-000091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130</xdr:row>
          <xdr:rowOff>0</xdr:rowOff>
        </xdr:from>
        <xdr:to>
          <xdr:col>6</xdr:col>
          <xdr:colOff>0</xdr:colOff>
          <xdr:row>132</xdr:row>
          <xdr:rowOff>0</xdr:rowOff>
        </xdr:to>
        <xdr:sp macro="" textlink="">
          <xdr:nvSpPr>
            <xdr:cNvPr id="1941" name="Group Box 917" hidden="1">
              <a:extLst>
                <a:ext uri="{63B3BB69-23CF-44E3-9099-C40C66FF867C}">
                  <a14:compatExt spid="_x0000_s1941"/>
                </a:ext>
                <a:ext uri="{FF2B5EF4-FFF2-40B4-BE49-F238E27FC236}">
                  <a16:creationId xmlns:a16="http://schemas.microsoft.com/office/drawing/2014/main" id="{00000000-0008-0000-0000-000095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131</xdr:row>
          <xdr:rowOff>0</xdr:rowOff>
        </xdr:from>
        <xdr:to>
          <xdr:col>6</xdr:col>
          <xdr:colOff>0</xdr:colOff>
          <xdr:row>134</xdr:row>
          <xdr:rowOff>0</xdr:rowOff>
        </xdr:to>
        <xdr:sp macro="" textlink="">
          <xdr:nvSpPr>
            <xdr:cNvPr id="1944" name="Group Box 920" hidden="1">
              <a:extLst>
                <a:ext uri="{63B3BB69-23CF-44E3-9099-C40C66FF867C}">
                  <a14:compatExt spid="_x0000_s1944"/>
                </a:ext>
                <a:ext uri="{FF2B5EF4-FFF2-40B4-BE49-F238E27FC236}">
                  <a16:creationId xmlns:a16="http://schemas.microsoft.com/office/drawing/2014/main" id="{00000000-0008-0000-0000-000098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131</xdr:row>
          <xdr:rowOff>0</xdr:rowOff>
        </xdr:from>
        <xdr:to>
          <xdr:col>6</xdr:col>
          <xdr:colOff>0</xdr:colOff>
          <xdr:row>134</xdr:row>
          <xdr:rowOff>0</xdr:rowOff>
        </xdr:to>
        <xdr:sp macro="" textlink="">
          <xdr:nvSpPr>
            <xdr:cNvPr id="1945" name="Group Box 921" hidden="1">
              <a:extLst>
                <a:ext uri="{63B3BB69-23CF-44E3-9099-C40C66FF867C}">
                  <a14:compatExt spid="_x0000_s1945"/>
                </a:ext>
                <a:ext uri="{FF2B5EF4-FFF2-40B4-BE49-F238E27FC236}">
                  <a16:creationId xmlns:a16="http://schemas.microsoft.com/office/drawing/2014/main" id="{00000000-0008-0000-0000-000099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133</xdr:row>
          <xdr:rowOff>0</xdr:rowOff>
        </xdr:from>
        <xdr:to>
          <xdr:col>6</xdr:col>
          <xdr:colOff>0</xdr:colOff>
          <xdr:row>136</xdr:row>
          <xdr:rowOff>0</xdr:rowOff>
        </xdr:to>
        <xdr:sp macro="" textlink="">
          <xdr:nvSpPr>
            <xdr:cNvPr id="1946" name="Group Box 922" hidden="1">
              <a:extLst>
                <a:ext uri="{63B3BB69-23CF-44E3-9099-C40C66FF867C}">
                  <a14:compatExt spid="_x0000_s1946"/>
                </a:ext>
                <a:ext uri="{FF2B5EF4-FFF2-40B4-BE49-F238E27FC236}">
                  <a16:creationId xmlns:a16="http://schemas.microsoft.com/office/drawing/2014/main" id="{00000000-0008-0000-0000-00009A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133</xdr:row>
          <xdr:rowOff>0</xdr:rowOff>
        </xdr:from>
        <xdr:to>
          <xdr:col>6</xdr:col>
          <xdr:colOff>0</xdr:colOff>
          <xdr:row>136</xdr:row>
          <xdr:rowOff>0</xdr:rowOff>
        </xdr:to>
        <xdr:sp macro="" textlink="">
          <xdr:nvSpPr>
            <xdr:cNvPr id="1947" name="Group Box 923" hidden="1">
              <a:extLst>
                <a:ext uri="{63B3BB69-23CF-44E3-9099-C40C66FF867C}">
                  <a14:compatExt spid="_x0000_s1947"/>
                </a:ext>
                <a:ext uri="{FF2B5EF4-FFF2-40B4-BE49-F238E27FC236}">
                  <a16:creationId xmlns:a16="http://schemas.microsoft.com/office/drawing/2014/main" id="{00000000-0008-0000-0000-00009B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135</xdr:row>
          <xdr:rowOff>0</xdr:rowOff>
        </xdr:from>
        <xdr:to>
          <xdr:col>6</xdr:col>
          <xdr:colOff>0</xdr:colOff>
          <xdr:row>137</xdr:row>
          <xdr:rowOff>0</xdr:rowOff>
        </xdr:to>
        <xdr:sp macro="" textlink="">
          <xdr:nvSpPr>
            <xdr:cNvPr id="1948" name="Group Box 924" hidden="1">
              <a:extLst>
                <a:ext uri="{63B3BB69-23CF-44E3-9099-C40C66FF867C}">
                  <a14:compatExt spid="_x0000_s1948"/>
                </a:ext>
                <a:ext uri="{FF2B5EF4-FFF2-40B4-BE49-F238E27FC236}">
                  <a16:creationId xmlns:a16="http://schemas.microsoft.com/office/drawing/2014/main" id="{00000000-0008-0000-0000-00009C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135</xdr:row>
          <xdr:rowOff>0</xdr:rowOff>
        </xdr:from>
        <xdr:to>
          <xdr:col>6</xdr:col>
          <xdr:colOff>0</xdr:colOff>
          <xdr:row>137</xdr:row>
          <xdr:rowOff>0</xdr:rowOff>
        </xdr:to>
        <xdr:sp macro="" textlink="">
          <xdr:nvSpPr>
            <xdr:cNvPr id="1949" name="Group Box 925" hidden="1">
              <a:extLst>
                <a:ext uri="{63B3BB69-23CF-44E3-9099-C40C66FF867C}">
                  <a14:compatExt spid="_x0000_s1949"/>
                </a:ext>
                <a:ext uri="{FF2B5EF4-FFF2-40B4-BE49-F238E27FC236}">
                  <a16:creationId xmlns:a16="http://schemas.microsoft.com/office/drawing/2014/main" id="{00000000-0008-0000-0000-00009D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136</xdr:row>
          <xdr:rowOff>0</xdr:rowOff>
        </xdr:from>
        <xdr:to>
          <xdr:col>6</xdr:col>
          <xdr:colOff>0</xdr:colOff>
          <xdr:row>137</xdr:row>
          <xdr:rowOff>0</xdr:rowOff>
        </xdr:to>
        <xdr:sp macro="" textlink="">
          <xdr:nvSpPr>
            <xdr:cNvPr id="1950" name="Group Box 926" hidden="1">
              <a:extLst>
                <a:ext uri="{63B3BB69-23CF-44E3-9099-C40C66FF867C}">
                  <a14:compatExt spid="_x0000_s1950"/>
                </a:ext>
                <a:ext uri="{FF2B5EF4-FFF2-40B4-BE49-F238E27FC236}">
                  <a16:creationId xmlns:a16="http://schemas.microsoft.com/office/drawing/2014/main" id="{00000000-0008-0000-0000-00009E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136</xdr:row>
          <xdr:rowOff>0</xdr:rowOff>
        </xdr:from>
        <xdr:to>
          <xdr:col>6</xdr:col>
          <xdr:colOff>0</xdr:colOff>
          <xdr:row>137</xdr:row>
          <xdr:rowOff>0</xdr:rowOff>
        </xdr:to>
        <xdr:sp macro="" textlink="">
          <xdr:nvSpPr>
            <xdr:cNvPr id="1951" name="Group Box 927" hidden="1">
              <a:extLst>
                <a:ext uri="{63B3BB69-23CF-44E3-9099-C40C66FF867C}">
                  <a14:compatExt spid="_x0000_s1951"/>
                </a:ext>
                <a:ext uri="{FF2B5EF4-FFF2-40B4-BE49-F238E27FC236}">
                  <a16:creationId xmlns:a16="http://schemas.microsoft.com/office/drawing/2014/main" id="{00000000-0008-0000-0000-00009F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135</xdr:row>
          <xdr:rowOff>0</xdr:rowOff>
        </xdr:from>
        <xdr:to>
          <xdr:col>6</xdr:col>
          <xdr:colOff>0</xdr:colOff>
          <xdr:row>137</xdr:row>
          <xdr:rowOff>0</xdr:rowOff>
        </xdr:to>
        <xdr:sp macro="" textlink="">
          <xdr:nvSpPr>
            <xdr:cNvPr id="1953" name="Group Box 929" hidden="1">
              <a:extLst>
                <a:ext uri="{63B3BB69-23CF-44E3-9099-C40C66FF867C}">
                  <a14:compatExt spid="_x0000_s1953"/>
                </a:ext>
                <a:ext uri="{FF2B5EF4-FFF2-40B4-BE49-F238E27FC236}">
                  <a16:creationId xmlns:a16="http://schemas.microsoft.com/office/drawing/2014/main" id="{00000000-0008-0000-0000-0000A1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135</xdr:row>
          <xdr:rowOff>0</xdr:rowOff>
        </xdr:from>
        <xdr:to>
          <xdr:col>6</xdr:col>
          <xdr:colOff>0</xdr:colOff>
          <xdr:row>137</xdr:row>
          <xdr:rowOff>0</xdr:rowOff>
        </xdr:to>
        <xdr:sp macro="" textlink="">
          <xdr:nvSpPr>
            <xdr:cNvPr id="1954" name="Group Box 930" hidden="1">
              <a:extLst>
                <a:ext uri="{63B3BB69-23CF-44E3-9099-C40C66FF867C}">
                  <a14:compatExt spid="_x0000_s1954"/>
                </a:ext>
                <a:ext uri="{FF2B5EF4-FFF2-40B4-BE49-F238E27FC236}">
                  <a16:creationId xmlns:a16="http://schemas.microsoft.com/office/drawing/2014/main" id="{00000000-0008-0000-0000-0000A2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136</xdr:row>
          <xdr:rowOff>0</xdr:rowOff>
        </xdr:from>
        <xdr:to>
          <xdr:col>6</xdr:col>
          <xdr:colOff>0</xdr:colOff>
          <xdr:row>137</xdr:row>
          <xdr:rowOff>0</xdr:rowOff>
        </xdr:to>
        <xdr:sp macro="" textlink="">
          <xdr:nvSpPr>
            <xdr:cNvPr id="1955" name="Group Box 931" hidden="1">
              <a:extLst>
                <a:ext uri="{63B3BB69-23CF-44E3-9099-C40C66FF867C}">
                  <a14:compatExt spid="_x0000_s1955"/>
                </a:ext>
                <a:ext uri="{FF2B5EF4-FFF2-40B4-BE49-F238E27FC236}">
                  <a16:creationId xmlns:a16="http://schemas.microsoft.com/office/drawing/2014/main" id="{00000000-0008-0000-0000-0000A3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136</xdr:row>
          <xdr:rowOff>0</xdr:rowOff>
        </xdr:from>
        <xdr:to>
          <xdr:col>6</xdr:col>
          <xdr:colOff>0</xdr:colOff>
          <xdr:row>137</xdr:row>
          <xdr:rowOff>0</xdr:rowOff>
        </xdr:to>
        <xdr:sp macro="" textlink="">
          <xdr:nvSpPr>
            <xdr:cNvPr id="1956" name="Group Box 932" hidden="1">
              <a:extLst>
                <a:ext uri="{63B3BB69-23CF-44E3-9099-C40C66FF867C}">
                  <a14:compatExt spid="_x0000_s1956"/>
                </a:ext>
                <a:ext uri="{FF2B5EF4-FFF2-40B4-BE49-F238E27FC236}">
                  <a16:creationId xmlns:a16="http://schemas.microsoft.com/office/drawing/2014/main" id="{00000000-0008-0000-0000-0000A4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137</xdr:row>
          <xdr:rowOff>0</xdr:rowOff>
        </xdr:from>
        <xdr:to>
          <xdr:col>6</xdr:col>
          <xdr:colOff>0</xdr:colOff>
          <xdr:row>138</xdr:row>
          <xdr:rowOff>0</xdr:rowOff>
        </xdr:to>
        <xdr:sp macro="" textlink="">
          <xdr:nvSpPr>
            <xdr:cNvPr id="1961" name="Group Box 937" hidden="1">
              <a:extLst>
                <a:ext uri="{63B3BB69-23CF-44E3-9099-C40C66FF867C}">
                  <a14:compatExt spid="_x0000_s1961"/>
                </a:ext>
                <a:ext uri="{FF2B5EF4-FFF2-40B4-BE49-F238E27FC236}">
                  <a16:creationId xmlns:a16="http://schemas.microsoft.com/office/drawing/2014/main" id="{00000000-0008-0000-0000-0000A9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137</xdr:row>
          <xdr:rowOff>0</xdr:rowOff>
        </xdr:from>
        <xdr:to>
          <xdr:col>6</xdr:col>
          <xdr:colOff>0</xdr:colOff>
          <xdr:row>138</xdr:row>
          <xdr:rowOff>0</xdr:rowOff>
        </xdr:to>
        <xdr:sp macro="" textlink="">
          <xdr:nvSpPr>
            <xdr:cNvPr id="1962" name="Group Box 938" hidden="1">
              <a:extLst>
                <a:ext uri="{63B3BB69-23CF-44E3-9099-C40C66FF867C}">
                  <a14:compatExt spid="_x0000_s1962"/>
                </a:ext>
                <a:ext uri="{FF2B5EF4-FFF2-40B4-BE49-F238E27FC236}">
                  <a16:creationId xmlns:a16="http://schemas.microsoft.com/office/drawing/2014/main" id="{00000000-0008-0000-0000-0000AA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137</xdr:row>
          <xdr:rowOff>0</xdr:rowOff>
        </xdr:from>
        <xdr:to>
          <xdr:col>6</xdr:col>
          <xdr:colOff>0</xdr:colOff>
          <xdr:row>138</xdr:row>
          <xdr:rowOff>0</xdr:rowOff>
        </xdr:to>
        <xdr:sp macro="" textlink="">
          <xdr:nvSpPr>
            <xdr:cNvPr id="1963" name="Group Box 939" hidden="1">
              <a:extLst>
                <a:ext uri="{63B3BB69-23CF-44E3-9099-C40C66FF867C}">
                  <a14:compatExt spid="_x0000_s1963"/>
                </a:ext>
                <a:ext uri="{FF2B5EF4-FFF2-40B4-BE49-F238E27FC236}">
                  <a16:creationId xmlns:a16="http://schemas.microsoft.com/office/drawing/2014/main" id="{00000000-0008-0000-0000-0000AB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137</xdr:row>
          <xdr:rowOff>0</xdr:rowOff>
        </xdr:from>
        <xdr:to>
          <xdr:col>6</xdr:col>
          <xdr:colOff>0</xdr:colOff>
          <xdr:row>138</xdr:row>
          <xdr:rowOff>0</xdr:rowOff>
        </xdr:to>
        <xdr:sp macro="" textlink="">
          <xdr:nvSpPr>
            <xdr:cNvPr id="1964" name="Group Box 940" hidden="1">
              <a:extLst>
                <a:ext uri="{63B3BB69-23CF-44E3-9099-C40C66FF867C}">
                  <a14:compatExt spid="_x0000_s1964"/>
                </a:ext>
                <a:ext uri="{FF2B5EF4-FFF2-40B4-BE49-F238E27FC236}">
                  <a16:creationId xmlns:a16="http://schemas.microsoft.com/office/drawing/2014/main" id="{00000000-0008-0000-0000-0000AC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136</xdr:row>
          <xdr:rowOff>0</xdr:rowOff>
        </xdr:from>
        <xdr:to>
          <xdr:col>6</xdr:col>
          <xdr:colOff>0</xdr:colOff>
          <xdr:row>137</xdr:row>
          <xdr:rowOff>0</xdr:rowOff>
        </xdr:to>
        <xdr:sp macro="" textlink="">
          <xdr:nvSpPr>
            <xdr:cNvPr id="1965" name="Group Box 941" hidden="1">
              <a:extLst>
                <a:ext uri="{63B3BB69-23CF-44E3-9099-C40C66FF867C}">
                  <a14:compatExt spid="_x0000_s1965"/>
                </a:ext>
                <a:ext uri="{FF2B5EF4-FFF2-40B4-BE49-F238E27FC236}">
                  <a16:creationId xmlns:a16="http://schemas.microsoft.com/office/drawing/2014/main" id="{00000000-0008-0000-0000-0000AD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136</xdr:row>
          <xdr:rowOff>0</xdr:rowOff>
        </xdr:from>
        <xdr:to>
          <xdr:col>6</xdr:col>
          <xdr:colOff>0</xdr:colOff>
          <xdr:row>137</xdr:row>
          <xdr:rowOff>0</xdr:rowOff>
        </xdr:to>
        <xdr:sp macro="" textlink="">
          <xdr:nvSpPr>
            <xdr:cNvPr id="1966" name="Group Box 942" hidden="1">
              <a:extLst>
                <a:ext uri="{63B3BB69-23CF-44E3-9099-C40C66FF867C}">
                  <a14:compatExt spid="_x0000_s1966"/>
                </a:ext>
                <a:ext uri="{FF2B5EF4-FFF2-40B4-BE49-F238E27FC236}">
                  <a16:creationId xmlns:a16="http://schemas.microsoft.com/office/drawing/2014/main" id="{00000000-0008-0000-0000-0000AE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137</xdr:row>
          <xdr:rowOff>0</xdr:rowOff>
        </xdr:from>
        <xdr:to>
          <xdr:col>6</xdr:col>
          <xdr:colOff>0</xdr:colOff>
          <xdr:row>138</xdr:row>
          <xdr:rowOff>0</xdr:rowOff>
        </xdr:to>
        <xdr:sp macro="" textlink="">
          <xdr:nvSpPr>
            <xdr:cNvPr id="1967" name="Group Box 943" hidden="1">
              <a:extLst>
                <a:ext uri="{63B3BB69-23CF-44E3-9099-C40C66FF867C}">
                  <a14:compatExt spid="_x0000_s1967"/>
                </a:ext>
                <a:ext uri="{FF2B5EF4-FFF2-40B4-BE49-F238E27FC236}">
                  <a16:creationId xmlns:a16="http://schemas.microsoft.com/office/drawing/2014/main" id="{00000000-0008-0000-0000-0000AF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137</xdr:row>
          <xdr:rowOff>0</xdr:rowOff>
        </xdr:from>
        <xdr:to>
          <xdr:col>6</xdr:col>
          <xdr:colOff>0</xdr:colOff>
          <xdr:row>138</xdr:row>
          <xdr:rowOff>0</xdr:rowOff>
        </xdr:to>
        <xdr:sp macro="" textlink="">
          <xdr:nvSpPr>
            <xdr:cNvPr id="1968" name="Group Box 944" hidden="1">
              <a:extLst>
                <a:ext uri="{63B3BB69-23CF-44E3-9099-C40C66FF867C}">
                  <a14:compatExt spid="_x0000_s1968"/>
                </a:ext>
                <a:ext uri="{FF2B5EF4-FFF2-40B4-BE49-F238E27FC236}">
                  <a16:creationId xmlns:a16="http://schemas.microsoft.com/office/drawing/2014/main" id="{00000000-0008-0000-0000-0000B0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136</xdr:row>
          <xdr:rowOff>0</xdr:rowOff>
        </xdr:from>
        <xdr:to>
          <xdr:col>6</xdr:col>
          <xdr:colOff>0</xdr:colOff>
          <xdr:row>137</xdr:row>
          <xdr:rowOff>0</xdr:rowOff>
        </xdr:to>
        <xdr:sp macro="" textlink="">
          <xdr:nvSpPr>
            <xdr:cNvPr id="1969" name="Group Box 945" hidden="1">
              <a:extLst>
                <a:ext uri="{63B3BB69-23CF-44E3-9099-C40C66FF867C}">
                  <a14:compatExt spid="_x0000_s1969"/>
                </a:ext>
                <a:ext uri="{FF2B5EF4-FFF2-40B4-BE49-F238E27FC236}">
                  <a16:creationId xmlns:a16="http://schemas.microsoft.com/office/drawing/2014/main" id="{00000000-0008-0000-0000-0000B1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136</xdr:row>
          <xdr:rowOff>0</xdr:rowOff>
        </xdr:from>
        <xdr:to>
          <xdr:col>6</xdr:col>
          <xdr:colOff>0</xdr:colOff>
          <xdr:row>137</xdr:row>
          <xdr:rowOff>0</xdr:rowOff>
        </xdr:to>
        <xdr:sp macro="" textlink="">
          <xdr:nvSpPr>
            <xdr:cNvPr id="1970" name="Group Box 946" hidden="1">
              <a:extLst>
                <a:ext uri="{63B3BB69-23CF-44E3-9099-C40C66FF867C}">
                  <a14:compatExt spid="_x0000_s1970"/>
                </a:ext>
                <a:ext uri="{FF2B5EF4-FFF2-40B4-BE49-F238E27FC236}">
                  <a16:creationId xmlns:a16="http://schemas.microsoft.com/office/drawing/2014/main" id="{00000000-0008-0000-0000-0000B2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137</xdr:row>
          <xdr:rowOff>0</xdr:rowOff>
        </xdr:from>
        <xdr:to>
          <xdr:col>6</xdr:col>
          <xdr:colOff>0</xdr:colOff>
          <xdr:row>138</xdr:row>
          <xdr:rowOff>0</xdr:rowOff>
        </xdr:to>
        <xdr:sp macro="" textlink="">
          <xdr:nvSpPr>
            <xdr:cNvPr id="1971" name="Group Box 947" hidden="1">
              <a:extLst>
                <a:ext uri="{63B3BB69-23CF-44E3-9099-C40C66FF867C}">
                  <a14:compatExt spid="_x0000_s1971"/>
                </a:ext>
                <a:ext uri="{FF2B5EF4-FFF2-40B4-BE49-F238E27FC236}">
                  <a16:creationId xmlns:a16="http://schemas.microsoft.com/office/drawing/2014/main" id="{00000000-0008-0000-0000-0000B3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137</xdr:row>
          <xdr:rowOff>0</xdr:rowOff>
        </xdr:from>
        <xdr:to>
          <xdr:col>6</xdr:col>
          <xdr:colOff>0</xdr:colOff>
          <xdr:row>138</xdr:row>
          <xdr:rowOff>0</xdr:rowOff>
        </xdr:to>
        <xdr:sp macro="" textlink="">
          <xdr:nvSpPr>
            <xdr:cNvPr id="1972" name="Group Box 948" hidden="1">
              <a:extLst>
                <a:ext uri="{63B3BB69-23CF-44E3-9099-C40C66FF867C}">
                  <a14:compatExt spid="_x0000_s1972"/>
                </a:ext>
                <a:ext uri="{FF2B5EF4-FFF2-40B4-BE49-F238E27FC236}">
                  <a16:creationId xmlns:a16="http://schemas.microsoft.com/office/drawing/2014/main" id="{00000000-0008-0000-0000-0000B4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137</xdr:row>
          <xdr:rowOff>0</xdr:rowOff>
        </xdr:from>
        <xdr:to>
          <xdr:col>6</xdr:col>
          <xdr:colOff>0</xdr:colOff>
          <xdr:row>138</xdr:row>
          <xdr:rowOff>0</xdr:rowOff>
        </xdr:to>
        <xdr:sp macro="" textlink="">
          <xdr:nvSpPr>
            <xdr:cNvPr id="1973" name="Group Box 949" hidden="1">
              <a:extLst>
                <a:ext uri="{63B3BB69-23CF-44E3-9099-C40C66FF867C}">
                  <a14:compatExt spid="_x0000_s1973"/>
                </a:ext>
                <a:ext uri="{FF2B5EF4-FFF2-40B4-BE49-F238E27FC236}">
                  <a16:creationId xmlns:a16="http://schemas.microsoft.com/office/drawing/2014/main" id="{00000000-0008-0000-0000-0000B5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137</xdr:row>
          <xdr:rowOff>0</xdr:rowOff>
        </xdr:from>
        <xdr:to>
          <xdr:col>6</xdr:col>
          <xdr:colOff>0</xdr:colOff>
          <xdr:row>138</xdr:row>
          <xdr:rowOff>0</xdr:rowOff>
        </xdr:to>
        <xdr:sp macro="" textlink="">
          <xdr:nvSpPr>
            <xdr:cNvPr id="1974" name="Group Box 950" hidden="1">
              <a:extLst>
                <a:ext uri="{63B3BB69-23CF-44E3-9099-C40C66FF867C}">
                  <a14:compatExt spid="_x0000_s1974"/>
                </a:ext>
                <a:ext uri="{FF2B5EF4-FFF2-40B4-BE49-F238E27FC236}">
                  <a16:creationId xmlns:a16="http://schemas.microsoft.com/office/drawing/2014/main" id="{00000000-0008-0000-0000-0000B6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137</xdr:row>
          <xdr:rowOff>0</xdr:rowOff>
        </xdr:from>
        <xdr:to>
          <xdr:col>6</xdr:col>
          <xdr:colOff>0</xdr:colOff>
          <xdr:row>138</xdr:row>
          <xdr:rowOff>0</xdr:rowOff>
        </xdr:to>
        <xdr:sp macro="" textlink="">
          <xdr:nvSpPr>
            <xdr:cNvPr id="1975" name="Group Box 951" hidden="1">
              <a:extLst>
                <a:ext uri="{63B3BB69-23CF-44E3-9099-C40C66FF867C}">
                  <a14:compatExt spid="_x0000_s1975"/>
                </a:ext>
                <a:ext uri="{FF2B5EF4-FFF2-40B4-BE49-F238E27FC236}">
                  <a16:creationId xmlns:a16="http://schemas.microsoft.com/office/drawing/2014/main" id="{00000000-0008-0000-0000-0000B7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137</xdr:row>
          <xdr:rowOff>0</xdr:rowOff>
        </xdr:from>
        <xdr:to>
          <xdr:col>6</xdr:col>
          <xdr:colOff>0</xdr:colOff>
          <xdr:row>138</xdr:row>
          <xdr:rowOff>0</xdr:rowOff>
        </xdr:to>
        <xdr:sp macro="" textlink="">
          <xdr:nvSpPr>
            <xdr:cNvPr id="1976" name="Group Box 952" hidden="1">
              <a:extLst>
                <a:ext uri="{63B3BB69-23CF-44E3-9099-C40C66FF867C}">
                  <a14:compatExt spid="_x0000_s1976"/>
                </a:ext>
                <a:ext uri="{FF2B5EF4-FFF2-40B4-BE49-F238E27FC236}">
                  <a16:creationId xmlns:a16="http://schemas.microsoft.com/office/drawing/2014/main" id="{00000000-0008-0000-0000-0000B8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137</xdr:row>
          <xdr:rowOff>0</xdr:rowOff>
        </xdr:from>
        <xdr:to>
          <xdr:col>6</xdr:col>
          <xdr:colOff>0</xdr:colOff>
          <xdr:row>138</xdr:row>
          <xdr:rowOff>0</xdr:rowOff>
        </xdr:to>
        <xdr:sp macro="" textlink="">
          <xdr:nvSpPr>
            <xdr:cNvPr id="1981" name="Group Box 957" hidden="1">
              <a:extLst>
                <a:ext uri="{63B3BB69-23CF-44E3-9099-C40C66FF867C}">
                  <a14:compatExt spid="_x0000_s1981"/>
                </a:ext>
                <a:ext uri="{FF2B5EF4-FFF2-40B4-BE49-F238E27FC236}">
                  <a16:creationId xmlns:a16="http://schemas.microsoft.com/office/drawing/2014/main" id="{00000000-0008-0000-0000-0000BD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137</xdr:row>
          <xdr:rowOff>0</xdr:rowOff>
        </xdr:from>
        <xdr:to>
          <xdr:col>6</xdr:col>
          <xdr:colOff>0</xdr:colOff>
          <xdr:row>138</xdr:row>
          <xdr:rowOff>0</xdr:rowOff>
        </xdr:to>
        <xdr:sp macro="" textlink="">
          <xdr:nvSpPr>
            <xdr:cNvPr id="1982" name="Group Box 958" hidden="1">
              <a:extLst>
                <a:ext uri="{63B3BB69-23CF-44E3-9099-C40C66FF867C}">
                  <a14:compatExt spid="_x0000_s1982"/>
                </a:ext>
                <a:ext uri="{FF2B5EF4-FFF2-40B4-BE49-F238E27FC236}">
                  <a16:creationId xmlns:a16="http://schemas.microsoft.com/office/drawing/2014/main" id="{00000000-0008-0000-0000-0000BE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137</xdr:row>
          <xdr:rowOff>0</xdr:rowOff>
        </xdr:from>
        <xdr:to>
          <xdr:col>6</xdr:col>
          <xdr:colOff>0</xdr:colOff>
          <xdr:row>138</xdr:row>
          <xdr:rowOff>0</xdr:rowOff>
        </xdr:to>
        <xdr:sp macro="" textlink="">
          <xdr:nvSpPr>
            <xdr:cNvPr id="1985" name="Group Box 961" hidden="1">
              <a:extLst>
                <a:ext uri="{63B3BB69-23CF-44E3-9099-C40C66FF867C}">
                  <a14:compatExt spid="_x0000_s1985"/>
                </a:ext>
                <a:ext uri="{FF2B5EF4-FFF2-40B4-BE49-F238E27FC236}">
                  <a16:creationId xmlns:a16="http://schemas.microsoft.com/office/drawing/2014/main" id="{00000000-0008-0000-0000-0000C1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137</xdr:row>
          <xdr:rowOff>0</xdr:rowOff>
        </xdr:from>
        <xdr:to>
          <xdr:col>6</xdr:col>
          <xdr:colOff>0</xdr:colOff>
          <xdr:row>138</xdr:row>
          <xdr:rowOff>0</xdr:rowOff>
        </xdr:to>
        <xdr:sp macro="" textlink="">
          <xdr:nvSpPr>
            <xdr:cNvPr id="1986" name="Group Box 962" hidden="1">
              <a:extLst>
                <a:ext uri="{63B3BB69-23CF-44E3-9099-C40C66FF867C}">
                  <a14:compatExt spid="_x0000_s1986"/>
                </a:ext>
                <a:ext uri="{FF2B5EF4-FFF2-40B4-BE49-F238E27FC236}">
                  <a16:creationId xmlns:a16="http://schemas.microsoft.com/office/drawing/2014/main" id="{00000000-0008-0000-0000-0000C2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66" name="Group Box 1198" hidden="1">
              <a:extLst>
                <a:ext uri="{63B3BB69-23CF-44E3-9099-C40C66FF867C}">
                  <a14:compatExt spid="_x0000_s8366"/>
                </a:ext>
                <a:ext uri="{FF2B5EF4-FFF2-40B4-BE49-F238E27FC236}">
                  <a16:creationId xmlns:a16="http://schemas.microsoft.com/office/drawing/2014/main" id="{00000000-0008-0000-0000-0000AE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67" name="Group Box 1199" hidden="1">
              <a:extLst>
                <a:ext uri="{63B3BB69-23CF-44E3-9099-C40C66FF867C}">
                  <a14:compatExt spid="_x0000_s8367"/>
                </a:ext>
                <a:ext uri="{FF2B5EF4-FFF2-40B4-BE49-F238E27FC236}">
                  <a16:creationId xmlns:a16="http://schemas.microsoft.com/office/drawing/2014/main" id="{00000000-0008-0000-0000-0000AF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68" name="Group Box 1200" hidden="1">
              <a:extLst>
                <a:ext uri="{63B3BB69-23CF-44E3-9099-C40C66FF867C}">
                  <a14:compatExt spid="_x0000_s8368"/>
                </a:ext>
                <a:ext uri="{FF2B5EF4-FFF2-40B4-BE49-F238E27FC236}">
                  <a16:creationId xmlns:a16="http://schemas.microsoft.com/office/drawing/2014/main" id="{00000000-0008-0000-0000-0000B0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69" name="Group Box 1201" hidden="1">
              <a:extLst>
                <a:ext uri="{63B3BB69-23CF-44E3-9099-C40C66FF867C}">
                  <a14:compatExt spid="_x0000_s8369"/>
                </a:ext>
                <a:ext uri="{FF2B5EF4-FFF2-40B4-BE49-F238E27FC236}">
                  <a16:creationId xmlns:a16="http://schemas.microsoft.com/office/drawing/2014/main" id="{00000000-0008-0000-0000-0000B1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70" name="Group Box 1202" hidden="1">
              <a:extLst>
                <a:ext uri="{63B3BB69-23CF-44E3-9099-C40C66FF867C}">
                  <a14:compatExt spid="_x0000_s8370"/>
                </a:ext>
                <a:ext uri="{FF2B5EF4-FFF2-40B4-BE49-F238E27FC236}">
                  <a16:creationId xmlns:a16="http://schemas.microsoft.com/office/drawing/2014/main" id="{00000000-0008-0000-0000-0000B2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71" name="Group Box 1203" hidden="1">
              <a:extLst>
                <a:ext uri="{63B3BB69-23CF-44E3-9099-C40C66FF867C}">
                  <a14:compatExt spid="_x0000_s8371"/>
                </a:ext>
                <a:ext uri="{FF2B5EF4-FFF2-40B4-BE49-F238E27FC236}">
                  <a16:creationId xmlns:a16="http://schemas.microsoft.com/office/drawing/2014/main" id="{00000000-0008-0000-0000-0000B3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72" name="Group Box 1204" hidden="1">
              <a:extLst>
                <a:ext uri="{63B3BB69-23CF-44E3-9099-C40C66FF867C}">
                  <a14:compatExt spid="_x0000_s8372"/>
                </a:ext>
                <a:ext uri="{FF2B5EF4-FFF2-40B4-BE49-F238E27FC236}">
                  <a16:creationId xmlns:a16="http://schemas.microsoft.com/office/drawing/2014/main" id="{00000000-0008-0000-0000-0000B4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73" name="Group Box 1205" hidden="1">
              <a:extLst>
                <a:ext uri="{63B3BB69-23CF-44E3-9099-C40C66FF867C}">
                  <a14:compatExt spid="_x0000_s8373"/>
                </a:ext>
                <a:ext uri="{FF2B5EF4-FFF2-40B4-BE49-F238E27FC236}">
                  <a16:creationId xmlns:a16="http://schemas.microsoft.com/office/drawing/2014/main" id="{00000000-0008-0000-0000-0000B5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74" name="Group Box 1206" hidden="1">
              <a:extLst>
                <a:ext uri="{63B3BB69-23CF-44E3-9099-C40C66FF867C}">
                  <a14:compatExt spid="_x0000_s8374"/>
                </a:ext>
                <a:ext uri="{FF2B5EF4-FFF2-40B4-BE49-F238E27FC236}">
                  <a16:creationId xmlns:a16="http://schemas.microsoft.com/office/drawing/2014/main" id="{00000000-0008-0000-0000-0000B6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75" name="Group Box 1207" hidden="1">
              <a:extLst>
                <a:ext uri="{63B3BB69-23CF-44E3-9099-C40C66FF867C}">
                  <a14:compatExt spid="_x0000_s8375"/>
                </a:ext>
                <a:ext uri="{FF2B5EF4-FFF2-40B4-BE49-F238E27FC236}">
                  <a16:creationId xmlns:a16="http://schemas.microsoft.com/office/drawing/2014/main" id="{00000000-0008-0000-0000-0000B7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76" name="Group Box 1208" hidden="1">
              <a:extLst>
                <a:ext uri="{63B3BB69-23CF-44E3-9099-C40C66FF867C}">
                  <a14:compatExt spid="_x0000_s8376"/>
                </a:ext>
                <a:ext uri="{FF2B5EF4-FFF2-40B4-BE49-F238E27FC236}">
                  <a16:creationId xmlns:a16="http://schemas.microsoft.com/office/drawing/2014/main" id="{00000000-0008-0000-0000-0000B8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77" name="Group Box 1209" hidden="1">
              <a:extLst>
                <a:ext uri="{63B3BB69-23CF-44E3-9099-C40C66FF867C}">
                  <a14:compatExt spid="_x0000_s8377"/>
                </a:ext>
                <a:ext uri="{FF2B5EF4-FFF2-40B4-BE49-F238E27FC236}">
                  <a16:creationId xmlns:a16="http://schemas.microsoft.com/office/drawing/2014/main" id="{00000000-0008-0000-0000-0000B9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78" name="Group Box 1210" hidden="1">
              <a:extLst>
                <a:ext uri="{63B3BB69-23CF-44E3-9099-C40C66FF867C}">
                  <a14:compatExt spid="_x0000_s8378"/>
                </a:ext>
                <a:ext uri="{FF2B5EF4-FFF2-40B4-BE49-F238E27FC236}">
                  <a16:creationId xmlns:a16="http://schemas.microsoft.com/office/drawing/2014/main" id="{00000000-0008-0000-0000-0000BA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79" name="Group Box 1211" hidden="1">
              <a:extLst>
                <a:ext uri="{63B3BB69-23CF-44E3-9099-C40C66FF867C}">
                  <a14:compatExt spid="_x0000_s8379"/>
                </a:ext>
                <a:ext uri="{FF2B5EF4-FFF2-40B4-BE49-F238E27FC236}">
                  <a16:creationId xmlns:a16="http://schemas.microsoft.com/office/drawing/2014/main" id="{00000000-0008-0000-0000-0000BB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80" name="Group Box 1212" hidden="1">
              <a:extLst>
                <a:ext uri="{63B3BB69-23CF-44E3-9099-C40C66FF867C}">
                  <a14:compatExt spid="_x0000_s8380"/>
                </a:ext>
                <a:ext uri="{FF2B5EF4-FFF2-40B4-BE49-F238E27FC236}">
                  <a16:creationId xmlns:a16="http://schemas.microsoft.com/office/drawing/2014/main" id="{00000000-0008-0000-0000-0000BC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81" name="Group Box 1213" hidden="1">
              <a:extLst>
                <a:ext uri="{63B3BB69-23CF-44E3-9099-C40C66FF867C}">
                  <a14:compatExt spid="_x0000_s8381"/>
                </a:ext>
                <a:ext uri="{FF2B5EF4-FFF2-40B4-BE49-F238E27FC236}">
                  <a16:creationId xmlns:a16="http://schemas.microsoft.com/office/drawing/2014/main" id="{00000000-0008-0000-0000-0000BD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82" name="Group Box 1214" hidden="1">
              <a:extLst>
                <a:ext uri="{63B3BB69-23CF-44E3-9099-C40C66FF867C}">
                  <a14:compatExt spid="_x0000_s8382"/>
                </a:ext>
                <a:ext uri="{FF2B5EF4-FFF2-40B4-BE49-F238E27FC236}">
                  <a16:creationId xmlns:a16="http://schemas.microsoft.com/office/drawing/2014/main" id="{00000000-0008-0000-0000-0000BE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83" name="Group Box 1215" hidden="1">
              <a:extLst>
                <a:ext uri="{63B3BB69-23CF-44E3-9099-C40C66FF867C}">
                  <a14:compatExt spid="_x0000_s8383"/>
                </a:ext>
                <a:ext uri="{FF2B5EF4-FFF2-40B4-BE49-F238E27FC236}">
                  <a16:creationId xmlns:a16="http://schemas.microsoft.com/office/drawing/2014/main" id="{00000000-0008-0000-0000-0000BF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84" name="Group Box 1216" hidden="1">
              <a:extLst>
                <a:ext uri="{63B3BB69-23CF-44E3-9099-C40C66FF867C}">
                  <a14:compatExt spid="_x0000_s8384"/>
                </a:ext>
                <a:ext uri="{FF2B5EF4-FFF2-40B4-BE49-F238E27FC236}">
                  <a16:creationId xmlns:a16="http://schemas.microsoft.com/office/drawing/2014/main" id="{00000000-0008-0000-0000-0000C0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85" name="Group Box 1217" hidden="1">
              <a:extLst>
                <a:ext uri="{63B3BB69-23CF-44E3-9099-C40C66FF867C}">
                  <a14:compatExt spid="_x0000_s8385"/>
                </a:ext>
                <a:ext uri="{FF2B5EF4-FFF2-40B4-BE49-F238E27FC236}">
                  <a16:creationId xmlns:a16="http://schemas.microsoft.com/office/drawing/2014/main" id="{00000000-0008-0000-0000-0000C1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86" name="Group Box 1218" hidden="1">
              <a:extLst>
                <a:ext uri="{63B3BB69-23CF-44E3-9099-C40C66FF867C}">
                  <a14:compatExt spid="_x0000_s8386"/>
                </a:ext>
                <a:ext uri="{FF2B5EF4-FFF2-40B4-BE49-F238E27FC236}">
                  <a16:creationId xmlns:a16="http://schemas.microsoft.com/office/drawing/2014/main" id="{00000000-0008-0000-0000-0000C2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87" name="Group Box 1219" hidden="1">
              <a:extLst>
                <a:ext uri="{63B3BB69-23CF-44E3-9099-C40C66FF867C}">
                  <a14:compatExt spid="_x0000_s8387"/>
                </a:ext>
                <a:ext uri="{FF2B5EF4-FFF2-40B4-BE49-F238E27FC236}">
                  <a16:creationId xmlns:a16="http://schemas.microsoft.com/office/drawing/2014/main" id="{00000000-0008-0000-0000-0000C3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88" name="Group Box 1220" hidden="1">
              <a:extLst>
                <a:ext uri="{63B3BB69-23CF-44E3-9099-C40C66FF867C}">
                  <a14:compatExt spid="_x0000_s8388"/>
                </a:ext>
                <a:ext uri="{FF2B5EF4-FFF2-40B4-BE49-F238E27FC236}">
                  <a16:creationId xmlns:a16="http://schemas.microsoft.com/office/drawing/2014/main" id="{00000000-0008-0000-0000-0000C4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138</xdr:row>
          <xdr:rowOff>0</xdr:rowOff>
        </xdr:from>
        <xdr:to>
          <xdr:col>11</xdr:col>
          <xdr:colOff>0</xdr:colOff>
          <xdr:row>140</xdr:row>
          <xdr:rowOff>0</xdr:rowOff>
        </xdr:to>
        <xdr:sp macro="" textlink="">
          <xdr:nvSpPr>
            <xdr:cNvPr id="8389" name="Group Box 1221" hidden="1">
              <a:extLst>
                <a:ext uri="{63B3BB69-23CF-44E3-9099-C40C66FF867C}">
                  <a14:compatExt spid="_x0000_s8389"/>
                </a:ext>
                <a:ext uri="{FF2B5EF4-FFF2-40B4-BE49-F238E27FC236}">
                  <a16:creationId xmlns:a16="http://schemas.microsoft.com/office/drawing/2014/main" id="{00000000-0008-0000-0000-0000C5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154</xdr:row>
          <xdr:rowOff>0</xdr:rowOff>
        </xdr:from>
        <xdr:to>
          <xdr:col>6</xdr:col>
          <xdr:colOff>0</xdr:colOff>
          <xdr:row>156</xdr:row>
          <xdr:rowOff>0</xdr:rowOff>
        </xdr:to>
        <xdr:sp macro="" textlink="">
          <xdr:nvSpPr>
            <xdr:cNvPr id="8398" name="Group Box 1230" hidden="1">
              <a:extLst>
                <a:ext uri="{63B3BB69-23CF-44E3-9099-C40C66FF867C}">
                  <a14:compatExt spid="_x0000_s8398"/>
                </a:ext>
                <a:ext uri="{FF2B5EF4-FFF2-40B4-BE49-F238E27FC236}">
                  <a16:creationId xmlns:a16="http://schemas.microsoft.com/office/drawing/2014/main" id="{00000000-0008-0000-0000-0000CE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154</xdr:row>
          <xdr:rowOff>0</xdr:rowOff>
        </xdr:from>
        <xdr:to>
          <xdr:col>6</xdr:col>
          <xdr:colOff>0</xdr:colOff>
          <xdr:row>156</xdr:row>
          <xdr:rowOff>0</xdr:rowOff>
        </xdr:to>
        <xdr:sp macro="" textlink="">
          <xdr:nvSpPr>
            <xdr:cNvPr id="8399" name="Group Box 1231" hidden="1">
              <a:extLst>
                <a:ext uri="{63B3BB69-23CF-44E3-9099-C40C66FF867C}">
                  <a14:compatExt spid="_x0000_s8399"/>
                </a:ext>
                <a:ext uri="{FF2B5EF4-FFF2-40B4-BE49-F238E27FC236}">
                  <a16:creationId xmlns:a16="http://schemas.microsoft.com/office/drawing/2014/main" id="{00000000-0008-0000-0000-0000CF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00" name="Group Box 1232" hidden="1">
              <a:extLst>
                <a:ext uri="{63B3BB69-23CF-44E3-9099-C40C66FF867C}">
                  <a14:compatExt spid="_x0000_s8400"/>
                </a:ext>
                <a:ext uri="{FF2B5EF4-FFF2-40B4-BE49-F238E27FC236}">
                  <a16:creationId xmlns:a16="http://schemas.microsoft.com/office/drawing/2014/main" id="{00000000-0008-0000-0000-0000D0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01" name="Group Box 1233" hidden="1">
              <a:extLst>
                <a:ext uri="{63B3BB69-23CF-44E3-9099-C40C66FF867C}">
                  <a14:compatExt spid="_x0000_s8401"/>
                </a:ext>
                <a:ext uri="{FF2B5EF4-FFF2-40B4-BE49-F238E27FC236}">
                  <a16:creationId xmlns:a16="http://schemas.microsoft.com/office/drawing/2014/main" id="{00000000-0008-0000-0000-0000D1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02" name="Group Box 1234" hidden="1">
              <a:extLst>
                <a:ext uri="{63B3BB69-23CF-44E3-9099-C40C66FF867C}">
                  <a14:compatExt spid="_x0000_s8402"/>
                </a:ext>
                <a:ext uri="{FF2B5EF4-FFF2-40B4-BE49-F238E27FC236}">
                  <a16:creationId xmlns:a16="http://schemas.microsoft.com/office/drawing/2014/main" id="{00000000-0008-0000-0000-0000D2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03" name="Group Box 1235" hidden="1">
              <a:extLst>
                <a:ext uri="{63B3BB69-23CF-44E3-9099-C40C66FF867C}">
                  <a14:compatExt spid="_x0000_s8403"/>
                </a:ext>
                <a:ext uri="{FF2B5EF4-FFF2-40B4-BE49-F238E27FC236}">
                  <a16:creationId xmlns:a16="http://schemas.microsoft.com/office/drawing/2014/main" id="{00000000-0008-0000-0000-0000D3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05" name="Group Box 1237" hidden="1">
              <a:extLst>
                <a:ext uri="{63B3BB69-23CF-44E3-9099-C40C66FF867C}">
                  <a14:compatExt spid="_x0000_s8405"/>
                </a:ext>
                <a:ext uri="{FF2B5EF4-FFF2-40B4-BE49-F238E27FC236}">
                  <a16:creationId xmlns:a16="http://schemas.microsoft.com/office/drawing/2014/main" id="{00000000-0008-0000-0000-0000D5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06" name="Group Box 1238" hidden="1">
              <a:extLst>
                <a:ext uri="{63B3BB69-23CF-44E3-9099-C40C66FF867C}">
                  <a14:compatExt spid="_x0000_s8406"/>
                </a:ext>
                <a:ext uri="{FF2B5EF4-FFF2-40B4-BE49-F238E27FC236}">
                  <a16:creationId xmlns:a16="http://schemas.microsoft.com/office/drawing/2014/main" id="{00000000-0008-0000-0000-0000D6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07" name="Group Box 1239" hidden="1">
              <a:extLst>
                <a:ext uri="{63B3BB69-23CF-44E3-9099-C40C66FF867C}">
                  <a14:compatExt spid="_x0000_s8407"/>
                </a:ext>
                <a:ext uri="{FF2B5EF4-FFF2-40B4-BE49-F238E27FC236}">
                  <a16:creationId xmlns:a16="http://schemas.microsoft.com/office/drawing/2014/main" id="{00000000-0008-0000-0000-0000D7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08" name="Group Box 1240" hidden="1">
              <a:extLst>
                <a:ext uri="{63B3BB69-23CF-44E3-9099-C40C66FF867C}">
                  <a14:compatExt spid="_x0000_s8408"/>
                </a:ext>
                <a:ext uri="{FF2B5EF4-FFF2-40B4-BE49-F238E27FC236}">
                  <a16:creationId xmlns:a16="http://schemas.microsoft.com/office/drawing/2014/main" id="{00000000-0008-0000-0000-0000D8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09" name="Group Box 1241" hidden="1">
              <a:extLst>
                <a:ext uri="{63B3BB69-23CF-44E3-9099-C40C66FF867C}">
                  <a14:compatExt spid="_x0000_s8409"/>
                </a:ext>
                <a:ext uri="{FF2B5EF4-FFF2-40B4-BE49-F238E27FC236}">
                  <a16:creationId xmlns:a16="http://schemas.microsoft.com/office/drawing/2014/main" id="{00000000-0008-0000-0000-0000D9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10" name="Group Box 1242" hidden="1">
              <a:extLst>
                <a:ext uri="{63B3BB69-23CF-44E3-9099-C40C66FF867C}">
                  <a14:compatExt spid="_x0000_s8410"/>
                </a:ext>
                <a:ext uri="{FF2B5EF4-FFF2-40B4-BE49-F238E27FC236}">
                  <a16:creationId xmlns:a16="http://schemas.microsoft.com/office/drawing/2014/main" id="{00000000-0008-0000-0000-0000DA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11" name="Group Box 1243" hidden="1">
              <a:extLst>
                <a:ext uri="{63B3BB69-23CF-44E3-9099-C40C66FF867C}">
                  <a14:compatExt spid="_x0000_s8411"/>
                </a:ext>
                <a:ext uri="{FF2B5EF4-FFF2-40B4-BE49-F238E27FC236}">
                  <a16:creationId xmlns:a16="http://schemas.microsoft.com/office/drawing/2014/main" id="{00000000-0008-0000-0000-0000DB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12" name="Group Box 1244" hidden="1">
              <a:extLst>
                <a:ext uri="{63B3BB69-23CF-44E3-9099-C40C66FF867C}">
                  <a14:compatExt spid="_x0000_s8412"/>
                </a:ext>
                <a:ext uri="{FF2B5EF4-FFF2-40B4-BE49-F238E27FC236}">
                  <a16:creationId xmlns:a16="http://schemas.microsoft.com/office/drawing/2014/main" id="{00000000-0008-0000-0000-0000DC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13" name="Group Box 1245" hidden="1">
              <a:extLst>
                <a:ext uri="{63B3BB69-23CF-44E3-9099-C40C66FF867C}">
                  <a14:compatExt spid="_x0000_s8413"/>
                </a:ext>
                <a:ext uri="{FF2B5EF4-FFF2-40B4-BE49-F238E27FC236}">
                  <a16:creationId xmlns:a16="http://schemas.microsoft.com/office/drawing/2014/main" id="{00000000-0008-0000-0000-0000DD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14" name="Group Box 1246" hidden="1">
              <a:extLst>
                <a:ext uri="{63B3BB69-23CF-44E3-9099-C40C66FF867C}">
                  <a14:compatExt spid="_x0000_s8414"/>
                </a:ext>
                <a:ext uri="{FF2B5EF4-FFF2-40B4-BE49-F238E27FC236}">
                  <a16:creationId xmlns:a16="http://schemas.microsoft.com/office/drawing/2014/main" id="{00000000-0008-0000-0000-0000DE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15" name="Group Box 1247" hidden="1">
              <a:extLst>
                <a:ext uri="{63B3BB69-23CF-44E3-9099-C40C66FF867C}">
                  <a14:compatExt spid="_x0000_s8415"/>
                </a:ext>
                <a:ext uri="{FF2B5EF4-FFF2-40B4-BE49-F238E27FC236}">
                  <a16:creationId xmlns:a16="http://schemas.microsoft.com/office/drawing/2014/main" id="{00000000-0008-0000-0000-0000DF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16" name="Group Box 1248" hidden="1">
              <a:extLst>
                <a:ext uri="{63B3BB69-23CF-44E3-9099-C40C66FF867C}">
                  <a14:compatExt spid="_x0000_s8416"/>
                </a:ext>
                <a:ext uri="{FF2B5EF4-FFF2-40B4-BE49-F238E27FC236}">
                  <a16:creationId xmlns:a16="http://schemas.microsoft.com/office/drawing/2014/main" id="{00000000-0008-0000-0000-0000E0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17" name="Group Box 1249" hidden="1">
              <a:extLst>
                <a:ext uri="{63B3BB69-23CF-44E3-9099-C40C66FF867C}">
                  <a14:compatExt spid="_x0000_s8417"/>
                </a:ext>
                <a:ext uri="{FF2B5EF4-FFF2-40B4-BE49-F238E27FC236}">
                  <a16:creationId xmlns:a16="http://schemas.microsoft.com/office/drawing/2014/main" id="{00000000-0008-0000-0000-0000E1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18" name="Group Box 1250" hidden="1">
              <a:extLst>
                <a:ext uri="{63B3BB69-23CF-44E3-9099-C40C66FF867C}">
                  <a14:compatExt spid="_x0000_s8418"/>
                </a:ext>
                <a:ext uri="{FF2B5EF4-FFF2-40B4-BE49-F238E27FC236}">
                  <a16:creationId xmlns:a16="http://schemas.microsoft.com/office/drawing/2014/main" id="{00000000-0008-0000-0000-0000E2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19" name="Group Box 1251" hidden="1">
              <a:extLst>
                <a:ext uri="{63B3BB69-23CF-44E3-9099-C40C66FF867C}">
                  <a14:compatExt spid="_x0000_s8419"/>
                </a:ext>
                <a:ext uri="{FF2B5EF4-FFF2-40B4-BE49-F238E27FC236}">
                  <a16:creationId xmlns:a16="http://schemas.microsoft.com/office/drawing/2014/main" id="{00000000-0008-0000-0000-0000E3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20" name="Group Box 1252" hidden="1">
              <a:extLst>
                <a:ext uri="{63B3BB69-23CF-44E3-9099-C40C66FF867C}">
                  <a14:compatExt spid="_x0000_s8420"/>
                </a:ext>
                <a:ext uri="{FF2B5EF4-FFF2-40B4-BE49-F238E27FC236}">
                  <a16:creationId xmlns:a16="http://schemas.microsoft.com/office/drawing/2014/main" id="{00000000-0008-0000-0000-0000E4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21" name="Group Box 1253" hidden="1">
              <a:extLst>
                <a:ext uri="{63B3BB69-23CF-44E3-9099-C40C66FF867C}">
                  <a14:compatExt spid="_x0000_s8421"/>
                </a:ext>
                <a:ext uri="{FF2B5EF4-FFF2-40B4-BE49-F238E27FC236}">
                  <a16:creationId xmlns:a16="http://schemas.microsoft.com/office/drawing/2014/main" id="{00000000-0008-0000-0000-0000E5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22" name="Group Box 1254" hidden="1">
              <a:extLst>
                <a:ext uri="{63B3BB69-23CF-44E3-9099-C40C66FF867C}">
                  <a14:compatExt spid="_x0000_s8422"/>
                </a:ext>
                <a:ext uri="{FF2B5EF4-FFF2-40B4-BE49-F238E27FC236}">
                  <a16:creationId xmlns:a16="http://schemas.microsoft.com/office/drawing/2014/main" id="{00000000-0008-0000-0000-0000E6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23" name="Group Box 1255" hidden="1">
              <a:extLst>
                <a:ext uri="{63B3BB69-23CF-44E3-9099-C40C66FF867C}">
                  <a14:compatExt spid="_x0000_s8423"/>
                </a:ext>
                <a:ext uri="{FF2B5EF4-FFF2-40B4-BE49-F238E27FC236}">
                  <a16:creationId xmlns:a16="http://schemas.microsoft.com/office/drawing/2014/main" id="{00000000-0008-0000-0000-0000E7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24" name="Group Box 1256" hidden="1">
              <a:extLst>
                <a:ext uri="{63B3BB69-23CF-44E3-9099-C40C66FF867C}">
                  <a14:compatExt spid="_x0000_s8424"/>
                </a:ext>
                <a:ext uri="{FF2B5EF4-FFF2-40B4-BE49-F238E27FC236}">
                  <a16:creationId xmlns:a16="http://schemas.microsoft.com/office/drawing/2014/main" id="{00000000-0008-0000-0000-0000E8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25" name="Group Box 1257" hidden="1">
              <a:extLst>
                <a:ext uri="{63B3BB69-23CF-44E3-9099-C40C66FF867C}">
                  <a14:compatExt spid="_x0000_s8425"/>
                </a:ext>
                <a:ext uri="{FF2B5EF4-FFF2-40B4-BE49-F238E27FC236}">
                  <a16:creationId xmlns:a16="http://schemas.microsoft.com/office/drawing/2014/main" id="{00000000-0008-0000-0000-0000E9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26" name="Group Box 1258" hidden="1">
              <a:extLst>
                <a:ext uri="{63B3BB69-23CF-44E3-9099-C40C66FF867C}">
                  <a14:compatExt spid="_x0000_s8426"/>
                </a:ext>
                <a:ext uri="{FF2B5EF4-FFF2-40B4-BE49-F238E27FC236}">
                  <a16:creationId xmlns:a16="http://schemas.microsoft.com/office/drawing/2014/main" id="{00000000-0008-0000-0000-0000EA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27" name="Group Box 1259" hidden="1">
              <a:extLst>
                <a:ext uri="{63B3BB69-23CF-44E3-9099-C40C66FF867C}">
                  <a14:compatExt spid="_x0000_s8427"/>
                </a:ext>
                <a:ext uri="{FF2B5EF4-FFF2-40B4-BE49-F238E27FC236}">
                  <a16:creationId xmlns:a16="http://schemas.microsoft.com/office/drawing/2014/main" id="{00000000-0008-0000-0000-0000EB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428" name="Group Box 1260" hidden="1">
              <a:extLst>
                <a:ext uri="{63B3BB69-23CF-44E3-9099-C40C66FF867C}">
                  <a14:compatExt spid="_x0000_s8428"/>
                </a:ext>
                <a:ext uri="{FF2B5EF4-FFF2-40B4-BE49-F238E27FC236}">
                  <a16:creationId xmlns:a16="http://schemas.microsoft.com/office/drawing/2014/main" id="{00000000-0008-0000-0000-0000EC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497" name="Group Box 1329" hidden="1">
              <a:extLst>
                <a:ext uri="{63B3BB69-23CF-44E3-9099-C40C66FF867C}">
                  <a14:compatExt spid="_x0000_s8497"/>
                </a:ext>
                <a:ext uri="{FF2B5EF4-FFF2-40B4-BE49-F238E27FC236}">
                  <a16:creationId xmlns:a16="http://schemas.microsoft.com/office/drawing/2014/main" id="{00000000-0008-0000-0000-000031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498" name="Group Box 1330" hidden="1">
              <a:extLst>
                <a:ext uri="{63B3BB69-23CF-44E3-9099-C40C66FF867C}">
                  <a14:compatExt spid="_x0000_s8498"/>
                </a:ext>
                <a:ext uri="{FF2B5EF4-FFF2-40B4-BE49-F238E27FC236}">
                  <a16:creationId xmlns:a16="http://schemas.microsoft.com/office/drawing/2014/main" id="{00000000-0008-0000-0000-000032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499" name="Group Box 1331" hidden="1">
              <a:extLst>
                <a:ext uri="{63B3BB69-23CF-44E3-9099-C40C66FF867C}">
                  <a14:compatExt spid="_x0000_s8499"/>
                </a:ext>
                <a:ext uri="{FF2B5EF4-FFF2-40B4-BE49-F238E27FC236}">
                  <a16:creationId xmlns:a16="http://schemas.microsoft.com/office/drawing/2014/main" id="{00000000-0008-0000-0000-000033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00" name="Group Box 1332" hidden="1">
              <a:extLst>
                <a:ext uri="{63B3BB69-23CF-44E3-9099-C40C66FF867C}">
                  <a14:compatExt spid="_x0000_s8500"/>
                </a:ext>
                <a:ext uri="{FF2B5EF4-FFF2-40B4-BE49-F238E27FC236}">
                  <a16:creationId xmlns:a16="http://schemas.microsoft.com/office/drawing/2014/main" id="{00000000-0008-0000-0000-000034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01" name="Group Box 1333" hidden="1">
              <a:extLst>
                <a:ext uri="{63B3BB69-23CF-44E3-9099-C40C66FF867C}">
                  <a14:compatExt spid="_x0000_s8501"/>
                </a:ext>
                <a:ext uri="{FF2B5EF4-FFF2-40B4-BE49-F238E27FC236}">
                  <a16:creationId xmlns:a16="http://schemas.microsoft.com/office/drawing/2014/main" id="{00000000-0008-0000-0000-000035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02" name="Group Box 1334" hidden="1">
              <a:extLst>
                <a:ext uri="{63B3BB69-23CF-44E3-9099-C40C66FF867C}">
                  <a14:compatExt spid="_x0000_s8502"/>
                </a:ext>
                <a:ext uri="{FF2B5EF4-FFF2-40B4-BE49-F238E27FC236}">
                  <a16:creationId xmlns:a16="http://schemas.microsoft.com/office/drawing/2014/main" id="{00000000-0008-0000-0000-000036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03" name="Group Box 1335" hidden="1">
              <a:extLst>
                <a:ext uri="{63B3BB69-23CF-44E3-9099-C40C66FF867C}">
                  <a14:compatExt spid="_x0000_s8503"/>
                </a:ext>
                <a:ext uri="{FF2B5EF4-FFF2-40B4-BE49-F238E27FC236}">
                  <a16:creationId xmlns:a16="http://schemas.microsoft.com/office/drawing/2014/main" id="{00000000-0008-0000-0000-000037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04" name="Group Box 1336" hidden="1">
              <a:extLst>
                <a:ext uri="{63B3BB69-23CF-44E3-9099-C40C66FF867C}">
                  <a14:compatExt spid="_x0000_s8504"/>
                </a:ext>
                <a:ext uri="{FF2B5EF4-FFF2-40B4-BE49-F238E27FC236}">
                  <a16:creationId xmlns:a16="http://schemas.microsoft.com/office/drawing/2014/main" id="{00000000-0008-0000-0000-000038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05" name="Group Box 1337" hidden="1">
              <a:extLst>
                <a:ext uri="{63B3BB69-23CF-44E3-9099-C40C66FF867C}">
                  <a14:compatExt spid="_x0000_s8505"/>
                </a:ext>
                <a:ext uri="{FF2B5EF4-FFF2-40B4-BE49-F238E27FC236}">
                  <a16:creationId xmlns:a16="http://schemas.microsoft.com/office/drawing/2014/main" id="{00000000-0008-0000-0000-000039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06" name="Group Box 1338" hidden="1">
              <a:extLst>
                <a:ext uri="{63B3BB69-23CF-44E3-9099-C40C66FF867C}">
                  <a14:compatExt spid="_x0000_s8506"/>
                </a:ext>
                <a:ext uri="{FF2B5EF4-FFF2-40B4-BE49-F238E27FC236}">
                  <a16:creationId xmlns:a16="http://schemas.microsoft.com/office/drawing/2014/main" id="{00000000-0008-0000-0000-00003A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07" name="Group Box 1339" hidden="1">
              <a:extLst>
                <a:ext uri="{63B3BB69-23CF-44E3-9099-C40C66FF867C}">
                  <a14:compatExt spid="_x0000_s8507"/>
                </a:ext>
                <a:ext uri="{FF2B5EF4-FFF2-40B4-BE49-F238E27FC236}">
                  <a16:creationId xmlns:a16="http://schemas.microsoft.com/office/drawing/2014/main" id="{00000000-0008-0000-0000-00003B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08" name="Group Box 1340" hidden="1">
              <a:extLst>
                <a:ext uri="{63B3BB69-23CF-44E3-9099-C40C66FF867C}">
                  <a14:compatExt spid="_x0000_s8508"/>
                </a:ext>
                <a:ext uri="{FF2B5EF4-FFF2-40B4-BE49-F238E27FC236}">
                  <a16:creationId xmlns:a16="http://schemas.microsoft.com/office/drawing/2014/main" id="{00000000-0008-0000-0000-00003C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09" name="Group Box 1341" hidden="1">
              <a:extLst>
                <a:ext uri="{63B3BB69-23CF-44E3-9099-C40C66FF867C}">
                  <a14:compatExt spid="_x0000_s8509"/>
                </a:ext>
                <a:ext uri="{FF2B5EF4-FFF2-40B4-BE49-F238E27FC236}">
                  <a16:creationId xmlns:a16="http://schemas.microsoft.com/office/drawing/2014/main" id="{00000000-0008-0000-0000-00003D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10" name="Group Box 1342" hidden="1">
              <a:extLst>
                <a:ext uri="{63B3BB69-23CF-44E3-9099-C40C66FF867C}">
                  <a14:compatExt spid="_x0000_s8510"/>
                </a:ext>
                <a:ext uri="{FF2B5EF4-FFF2-40B4-BE49-F238E27FC236}">
                  <a16:creationId xmlns:a16="http://schemas.microsoft.com/office/drawing/2014/main" id="{00000000-0008-0000-0000-00003E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11" name="Group Box 1343" hidden="1">
              <a:extLst>
                <a:ext uri="{63B3BB69-23CF-44E3-9099-C40C66FF867C}">
                  <a14:compatExt spid="_x0000_s8511"/>
                </a:ext>
                <a:ext uri="{FF2B5EF4-FFF2-40B4-BE49-F238E27FC236}">
                  <a16:creationId xmlns:a16="http://schemas.microsoft.com/office/drawing/2014/main" id="{00000000-0008-0000-0000-00003F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12" name="Group Box 1344" hidden="1">
              <a:extLst>
                <a:ext uri="{63B3BB69-23CF-44E3-9099-C40C66FF867C}">
                  <a14:compatExt spid="_x0000_s8512"/>
                </a:ext>
                <a:ext uri="{FF2B5EF4-FFF2-40B4-BE49-F238E27FC236}">
                  <a16:creationId xmlns:a16="http://schemas.microsoft.com/office/drawing/2014/main" id="{00000000-0008-0000-0000-000040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13" name="Group Box 1345" hidden="1">
              <a:extLst>
                <a:ext uri="{63B3BB69-23CF-44E3-9099-C40C66FF867C}">
                  <a14:compatExt spid="_x0000_s8513"/>
                </a:ext>
                <a:ext uri="{FF2B5EF4-FFF2-40B4-BE49-F238E27FC236}">
                  <a16:creationId xmlns:a16="http://schemas.microsoft.com/office/drawing/2014/main" id="{00000000-0008-0000-0000-000041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14" name="Group Box 1346" hidden="1">
              <a:extLst>
                <a:ext uri="{63B3BB69-23CF-44E3-9099-C40C66FF867C}">
                  <a14:compatExt spid="_x0000_s8514"/>
                </a:ext>
                <a:ext uri="{FF2B5EF4-FFF2-40B4-BE49-F238E27FC236}">
                  <a16:creationId xmlns:a16="http://schemas.microsoft.com/office/drawing/2014/main" id="{00000000-0008-0000-0000-000042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15" name="Group Box 1347" hidden="1">
              <a:extLst>
                <a:ext uri="{63B3BB69-23CF-44E3-9099-C40C66FF867C}">
                  <a14:compatExt spid="_x0000_s8515"/>
                </a:ext>
                <a:ext uri="{FF2B5EF4-FFF2-40B4-BE49-F238E27FC236}">
                  <a16:creationId xmlns:a16="http://schemas.microsoft.com/office/drawing/2014/main" id="{00000000-0008-0000-0000-000043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16" name="Group Box 1348" hidden="1">
              <a:extLst>
                <a:ext uri="{63B3BB69-23CF-44E3-9099-C40C66FF867C}">
                  <a14:compatExt spid="_x0000_s8516"/>
                </a:ext>
                <a:ext uri="{FF2B5EF4-FFF2-40B4-BE49-F238E27FC236}">
                  <a16:creationId xmlns:a16="http://schemas.microsoft.com/office/drawing/2014/main" id="{00000000-0008-0000-0000-000044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17" name="Group Box 1349" hidden="1">
              <a:extLst>
                <a:ext uri="{63B3BB69-23CF-44E3-9099-C40C66FF867C}">
                  <a14:compatExt spid="_x0000_s8517"/>
                </a:ext>
                <a:ext uri="{FF2B5EF4-FFF2-40B4-BE49-F238E27FC236}">
                  <a16:creationId xmlns:a16="http://schemas.microsoft.com/office/drawing/2014/main" id="{00000000-0008-0000-0000-000045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18" name="Group Box 1350" hidden="1">
              <a:extLst>
                <a:ext uri="{63B3BB69-23CF-44E3-9099-C40C66FF867C}">
                  <a14:compatExt spid="_x0000_s8518"/>
                </a:ext>
                <a:ext uri="{FF2B5EF4-FFF2-40B4-BE49-F238E27FC236}">
                  <a16:creationId xmlns:a16="http://schemas.microsoft.com/office/drawing/2014/main" id="{00000000-0008-0000-0000-000046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19" name="Group Box 1351" hidden="1">
              <a:extLst>
                <a:ext uri="{63B3BB69-23CF-44E3-9099-C40C66FF867C}">
                  <a14:compatExt spid="_x0000_s8519"/>
                </a:ext>
                <a:ext uri="{FF2B5EF4-FFF2-40B4-BE49-F238E27FC236}">
                  <a16:creationId xmlns:a16="http://schemas.microsoft.com/office/drawing/2014/main" id="{00000000-0008-0000-0000-000047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520" name="Group Box 1352" hidden="1">
              <a:extLst>
                <a:ext uri="{63B3BB69-23CF-44E3-9099-C40C66FF867C}">
                  <a14:compatExt spid="_x0000_s8520"/>
                </a:ext>
                <a:ext uri="{FF2B5EF4-FFF2-40B4-BE49-F238E27FC236}">
                  <a16:creationId xmlns:a16="http://schemas.microsoft.com/office/drawing/2014/main" id="{00000000-0008-0000-0000-000048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600" name="Group Box 1432" hidden="1">
              <a:extLst>
                <a:ext uri="{63B3BB69-23CF-44E3-9099-C40C66FF867C}">
                  <a14:compatExt spid="_x0000_s8600"/>
                </a:ext>
                <a:ext uri="{FF2B5EF4-FFF2-40B4-BE49-F238E27FC236}">
                  <a16:creationId xmlns:a16="http://schemas.microsoft.com/office/drawing/2014/main" id="{00000000-0008-0000-0000-000098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155</xdr:row>
          <xdr:rowOff>0</xdr:rowOff>
        </xdr:from>
        <xdr:to>
          <xdr:col>6</xdr:col>
          <xdr:colOff>0</xdr:colOff>
          <xdr:row>157</xdr:row>
          <xdr:rowOff>0</xdr:rowOff>
        </xdr:to>
        <xdr:sp macro="" textlink="">
          <xdr:nvSpPr>
            <xdr:cNvPr id="8601" name="Group Box 1433" hidden="1">
              <a:extLst>
                <a:ext uri="{63B3BB69-23CF-44E3-9099-C40C66FF867C}">
                  <a14:compatExt spid="_x0000_s8601"/>
                </a:ext>
                <a:ext uri="{FF2B5EF4-FFF2-40B4-BE49-F238E27FC236}">
                  <a16:creationId xmlns:a16="http://schemas.microsoft.com/office/drawing/2014/main" id="{00000000-0008-0000-0000-000099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32" name="Group Box 1464" hidden="1">
              <a:extLst>
                <a:ext uri="{63B3BB69-23CF-44E3-9099-C40C66FF867C}">
                  <a14:compatExt spid="_x0000_s8632"/>
                </a:ext>
                <a:ext uri="{FF2B5EF4-FFF2-40B4-BE49-F238E27FC236}">
                  <a16:creationId xmlns:a16="http://schemas.microsoft.com/office/drawing/2014/main" id="{00000000-0008-0000-0000-0000B8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33" name="Group Box 1465" hidden="1">
              <a:extLst>
                <a:ext uri="{63B3BB69-23CF-44E3-9099-C40C66FF867C}">
                  <a14:compatExt spid="_x0000_s8633"/>
                </a:ext>
                <a:ext uri="{FF2B5EF4-FFF2-40B4-BE49-F238E27FC236}">
                  <a16:creationId xmlns:a16="http://schemas.microsoft.com/office/drawing/2014/main" id="{00000000-0008-0000-0000-0000B9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34" name="Group Box 1466" hidden="1">
              <a:extLst>
                <a:ext uri="{63B3BB69-23CF-44E3-9099-C40C66FF867C}">
                  <a14:compatExt spid="_x0000_s8634"/>
                </a:ext>
                <a:ext uri="{FF2B5EF4-FFF2-40B4-BE49-F238E27FC236}">
                  <a16:creationId xmlns:a16="http://schemas.microsoft.com/office/drawing/2014/main" id="{00000000-0008-0000-0000-0000BA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35" name="Group Box 1467" hidden="1">
              <a:extLst>
                <a:ext uri="{63B3BB69-23CF-44E3-9099-C40C66FF867C}">
                  <a14:compatExt spid="_x0000_s8635"/>
                </a:ext>
                <a:ext uri="{FF2B5EF4-FFF2-40B4-BE49-F238E27FC236}">
                  <a16:creationId xmlns:a16="http://schemas.microsoft.com/office/drawing/2014/main" id="{00000000-0008-0000-0000-0000BB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36" name="Group Box 1468" hidden="1">
              <a:extLst>
                <a:ext uri="{63B3BB69-23CF-44E3-9099-C40C66FF867C}">
                  <a14:compatExt spid="_x0000_s8636"/>
                </a:ext>
                <a:ext uri="{FF2B5EF4-FFF2-40B4-BE49-F238E27FC236}">
                  <a16:creationId xmlns:a16="http://schemas.microsoft.com/office/drawing/2014/main" id="{00000000-0008-0000-0000-0000BC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37" name="Group Box 1469" hidden="1">
              <a:extLst>
                <a:ext uri="{63B3BB69-23CF-44E3-9099-C40C66FF867C}">
                  <a14:compatExt spid="_x0000_s8637"/>
                </a:ext>
                <a:ext uri="{FF2B5EF4-FFF2-40B4-BE49-F238E27FC236}">
                  <a16:creationId xmlns:a16="http://schemas.microsoft.com/office/drawing/2014/main" id="{00000000-0008-0000-0000-0000BD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38" name="Group Box 1470" hidden="1">
              <a:extLst>
                <a:ext uri="{63B3BB69-23CF-44E3-9099-C40C66FF867C}">
                  <a14:compatExt spid="_x0000_s8638"/>
                </a:ext>
                <a:ext uri="{FF2B5EF4-FFF2-40B4-BE49-F238E27FC236}">
                  <a16:creationId xmlns:a16="http://schemas.microsoft.com/office/drawing/2014/main" id="{00000000-0008-0000-0000-0000BE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39" name="Group Box 1471" hidden="1">
              <a:extLst>
                <a:ext uri="{63B3BB69-23CF-44E3-9099-C40C66FF867C}">
                  <a14:compatExt spid="_x0000_s8639"/>
                </a:ext>
                <a:ext uri="{FF2B5EF4-FFF2-40B4-BE49-F238E27FC236}">
                  <a16:creationId xmlns:a16="http://schemas.microsoft.com/office/drawing/2014/main" id="{00000000-0008-0000-0000-0000BF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40" name="Group Box 1472" hidden="1">
              <a:extLst>
                <a:ext uri="{63B3BB69-23CF-44E3-9099-C40C66FF867C}">
                  <a14:compatExt spid="_x0000_s8640"/>
                </a:ext>
                <a:ext uri="{FF2B5EF4-FFF2-40B4-BE49-F238E27FC236}">
                  <a16:creationId xmlns:a16="http://schemas.microsoft.com/office/drawing/2014/main" id="{00000000-0008-0000-0000-0000C0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41" name="Group Box 1473" hidden="1">
              <a:extLst>
                <a:ext uri="{63B3BB69-23CF-44E3-9099-C40C66FF867C}">
                  <a14:compatExt spid="_x0000_s8641"/>
                </a:ext>
                <a:ext uri="{FF2B5EF4-FFF2-40B4-BE49-F238E27FC236}">
                  <a16:creationId xmlns:a16="http://schemas.microsoft.com/office/drawing/2014/main" id="{00000000-0008-0000-0000-0000C1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42" name="Group Box 1474" hidden="1">
              <a:extLst>
                <a:ext uri="{63B3BB69-23CF-44E3-9099-C40C66FF867C}">
                  <a14:compatExt spid="_x0000_s8642"/>
                </a:ext>
                <a:ext uri="{FF2B5EF4-FFF2-40B4-BE49-F238E27FC236}">
                  <a16:creationId xmlns:a16="http://schemas.microsoft.com/office/drawing/2014/main" id="{00000000-0008-0000-0000-0000C2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43" name="Group Box 1475" hidden="1">
              <a:extLst>
                <a:ext uri="{63B3BB69-23CF-44E3-9099-C40C66FF867C}">
                  <a14:compatExt spid="_x0000_s8643"/>
                </a:ext>
                <a:ext uri="{FF2B5EF4-FFF2-40B4-BE49-F238E27FC236}">
                  <a16:creationId xmlns:a16="http://schemas.microsoft.com/office/drawing/2014/main" id="{00000000-0008-0000-0000-0000C3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44" name="Group Box 1476" hidden="1">
              <a:extLst>
                <a:ext uri="{63B3BB69-23CF-44E3-9099-C40C66FF867C}">
                  <a14:compatExt spid="_x0000_s8644"/>
                </a:ext>
                <a:ext uri="{FF2B5EF4-FFF2-40B4-BE49-F238E27FC236}">
                  <a16:creationId xmlns:a16="http://schemas.microsoft.com/office/drawing/2014/main" id="{00000000-0008-0000-0000-0000C4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45" name="Group Box 1477" hidden="1">
              <a:extLst>
                <a:ext uri="{63B3BB69-23CF-44E3-9099-C40C66FF867C}">
                  <a14:compatExt spid="_x0000_s8645"/>
                </a:ext>
                <a:ext uri="{FF2B5EF4-FFF2-40B4-BE49-F238E27FC236}">
                  <a16:creationId xmlns:a16="http://schemas.microsoft.com/office/drawing/2014/main" id="{00000000-0008-0000-0000-0000C5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46" name="Group Box 1478" hidden="1">
              <a:extLst>
                <a:ext uri="{63B3BB69-23CF-44E3-9099-C40C66FF867C}">
                  <a14:compatExt spid="_x0000_s8646"/>
                </a:ext>
                <a:ext uri="{FF2B5EF4-FFF2-40B4-BE49-F238E27FC236}">
                  <a16:creationId xmlns:a16="http://schemas.microsoft.com/office/drawing/2014/main" id="{00000000-0008-0000-0000-0000C6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47" name="Group Box 1479" hidden="1">
              <a:extLst>
                <a:ext uri="{63B3BB69-23CF-44E3-9099-C40C66FF867C}">
                  <a14:compatExt spid="_x0000_s8647"/>
                </a:ext>
                <a:ext uri="{FF2B5EF4-FFF2-40B4-BE49-F238E27FC236}">
                  <a16:creationId xmlns:a16="http://schemas.microsoft.com/office/drawing/2014/main" id="{00000000-0008-0000-0000-0000C7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48" name="Group Box 1480" hidden="1">
              <a:extLst>
                <a:ext uri="{63B3BB69-23CF-44E3-9099-C40C66FF867C}">
                  <a14:compatExt spid="_x0000_s8648"/>
                </a:ext>
                <a:ext uri="{FF2B5EF4-FFF2-40B4-BE49-F238E27FC236}">
                  <a16:creationId xmlns:a16="http://schemas.microsoft.com/office/drawing/2014/main" id="{00000000-0008-0000-0000-0000C8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49" name="Group Box 1481" hidden="1">
              <a:extLst>
                <a:ext uri="{63B3BB69-23CF-44E3-9099-C40C66FF867C}">
                  <a14:compatExt spid="_x0000_s8649"/>
                </a:ext>
                <a:ext uri="{FF2B5EF4-FFF2-40B4-BE49-F238E27FC236}">
                  <a16:creationId xmlns:a16="http://schemas.microsoft.com/office/drawing/2014/main" id="{00000000-0008-0000-0000-0000C9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50" name="Group Box 1482" hidden="1">
              <a:extLst>
                <a:ext uri="{63B3BB69-23CF-44E3-9099-C40C66FF867C}">
                  <a14:compatExt spid="_x0000_s8650"/>
                </a:ext>
                <a:ext uri="{FF2B5EF4-FFF2-40B4-BE49-F238E27FC236}">
                  <a16:creationId xmlns:a16="http://schemas.microsoft.com/office/drawing/2014/main" id="{00000000-0008-0000-0000-0000CA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51" name="Group Box 1483" hidden="1">
              <a:extLst>
                <a:ext uri="{63B3BB69-23CF-44E3-9099-C40C66FF867C}">
                  <a14:compatExt spid="_x0000_s8651"/>
                </a:ext>
                <a:ext uri="{FF2B5EF4-FFF2-40B4-BE49-F238E27FC236}">
                  <a16:creationId xmlns:a16="http://schemas.microsoft.com/office/drawing/2014/main" id="{00000000-0008-0000-0000-0000CB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52" name="Group Box 1484" hidden="1">
              <a:extLst>
                <a:ext uri="{63B3BB69-23CF-44E3-9099-C40C66FF867C}">
                  <a14:compatExt spid="_x0000_s8652"/>
                </a:ext>
                <a:ext uri="{FF2B5EF4-FFF2-40B4-BE49-F238E27FC236}">
                  <a16:creationId xmlns:a16="http://schemas.microsoft.com/office/drawing/2014/main" id="{00000000-0008-0000-0000-0000CC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53" name="Group Box 1485" hidden="1">
              <a:extLst>
                <a:ext uri="{63B3BB69-23CF-44E3-9099-C40C66FF867C}">
                  <a14:compatExt spid="_x0000_s8653"/>
                </a:ext>
                <a:ext uri="{FF2B5EF4-FFF2-40B4-BE49-F238E27FC236}">
                  <a16:creationId xmlns:a16="http://schemas.microsoft.com/office/drawing/2014/main" id="{00000000-0008-0000-0000-0000CD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54" name="Group Box 1486" hidden="1">
              <a:extLst>
                <a:ext uri="{63B3BB69-23CF-44E3-9099-C40C66FF867C}">
                  <a14:compatExt spid="_x0000_s8654"/>
                </a:ext>
                <a:ext uri="{FF2B5EF4-FFF2-40B4-BE49-F238E27FC236}">
                  <a16:creationId xmlns:a16="http://schemas.microsoft.com/office/drawing/2014/main" id="{00000000-0008-0000-0000-0000CE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55" name="Group Box 1487" hidden="1">
              <a:extLst>
                <a:ext uri="{63B3BB69-23CF-44E3-9099-C40C66FF867C}">
                  <a14:compatExt spid="_x0000_s8655"/>
                </a:ext>
                <a:ext uri="{FF2B5EF4-FFF2-40B4-BE49-F238E27FC236}">
                  <a16:creationId xmlns:a16="http://schemas.microsoft.com/office/drawing/2014/main" id="{00000000-0008-0000-0000-0000CF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56" name="Group Box 1488" hidden="1">
              <a:extLst>
                <a:ext uri="{63B3BB69-23CF-44E3-9099-C40C66FF867C}">
                  <a14:compatExt spid="_x0000_s8656"/>
                </a:ext>
                <a:ext uri="{FF2B5EF4-FFF2-40B4-BE49-F238E27FC236}">
                  <a16:creationId xmlns:a16="http://schemas.microsoft.com/office/drawing/2014/main" id="{00000000-0008-0000-0000-0000D0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57" name="Group Box 1489" hidden="1">
              <a:extLst>
                <a:ext uri="{63B3BB69-23CF-44E3-9099-C40C66FF867C}">
                  <a14:compatExt spid="_x0000_s8657"/>
                </a:ext>
                <a:ext uri="{FF2B5EF4-FFF2-40B4-BE49-F238E27FC236}">
                  <a16:creationId xmlns:a16="http://schemas.microsoft.com/office/drawing/2014/main" id="{00000000-0008-0000-0000-0000D1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58" name="Group Box 1490" hidden="1">
              <a:extLst>
                <a:ext uri="{63B3BB69-23CF-44E3-9099-C40C66FF867C}">
                  <a14:compatExt spid="_x0000_s8658"/>
                </a:ext>
                <a:ext uri="{FF2B5EF4-FFF2-40B4-BE49-F238E27FC236}">
                  <a16:creationId xmlns:a16="http://schemas.microsoft.com/office/drawing/2014/main" id="{00000000-0008-0000-0000-0000D2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59" name="Group Box 1491" hidden="1">
              <a:extLst>
                <a:ext uri="{63B3BB69-23CF-44E3-9099-C40C66FF867C}">
                  <a14:compatExt spid="_x0000_s8659"/>
                </a:ext>
                <a:ext uri="{FF2B5EF4-FFF2-40B4-BE49-F238E27FC236}">
                  <a16:creationId xmlns:a16="http://schemas.microsoft.com/office/drawing/2014/main" id="{00000000-0008-0000-0000-0000D3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60" name="Group Box 1492" hidden="1">
              <a:extLst>
                <a:ext uri="{63B3BB69-23CF-44E3-9099-C40C66FF867C}">
                  <a14:compatExt spid="_x0000_s8660"/>
                </a:ext>
                <a:ext uri="{FF2B5EF4-FFF2-40B4-BE49-F238E27FC236}">
                  <a16:creationId xmlns:a16="http://schemas.microsoft.com/office/drawing/2014/main" id="{00000000-0008-0000-0000-0000D4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156</xdr:row>
          <xdr:rowOff>0</xdr:rowOff>
        </xdr:from>
        <xdr:to>
          <xdr:col>8</xdr:col>
          <xdr:colOff>0</xdr:colOff>
          <xdr:row>158</xdr:row>
          <xdr:rowOff>0</xdr:rowOff>
        </xdr:to>
        <xdr:sp macro="" textlink="">
          <xdr:nvSpPr>
            <xdr:cNvPr id="8661" name="Group Box 1493" hidden="1">
              <a:extLst>
                <a:ext uri="{63B3BB69-23CF-44E3-9099-C40C66FF867C}">
                  <a14:compatExt spid="_x0000_s8661"/>
                </a:ext>
                <a:ext uri="{FF2B5EF4-FFF2-40B4-BE49-F238E27FC236}">
                  <a16:creationId xmlns:a16="http://schemas.microsoft.com/office/drawing/2014/main" id="{00000000-0008-0000-0000-0000D5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62" name="Group Box 1494" hidden="1">
              <a:extLst>
                <a:ext uri="{63B3BB69-23CF-44E3-9099-C40C66FF867C}">
                  <a14:compatExt spid="_x0000_s8662"/>
                </a:ext>
                <a:ext uri="{FF2B5EF4-FFF2-40B4-BE49-F238E27FC236}">
                  <a16:creationId xmlns:a16="http://schemas.microsoft.com/office/drawing/2014/main" id="{00000000-0008-0000-0000-0000D6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63" name="Group Box 1495" hidden="1">
              <a:extLst>
                <a:ext uri="{63B3BB69-23CF-44E3-9099-C40C66FF867C}">
                  <a14:compatExt spid="_x0000_s8663"/>
                </a:ext>
                <a:ext uri="{FF2B5EF4-FFF2-40B4-BE49-F238E27FC236}">
                  <a16:creationId xmlns:a16="http://schemas.microsoft.com/office/drawing/2014/main" id="{00000000-0008-0000-0000-0000D7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64" name="Group Box 1496" hidden="1">
              <a:extLst>
                <a:ext uri="{63B3BB69-23CF-44E3-9099-C40C66FF867C}">
                  <a14:compatExt spid="_x0000_s8664"/>
                </a:ext>
                <a:ext uri="{FF2B5EF4-FFF2-40B4-BE49-F238E27FC236}">
                  <a16:creationId xmlns:a16="http://schemas.microsoft.com/office/drawing/2014/main" id="{00000000-0008-0000-0000-0000D8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65" name="Group Box 1497" hidden="1">
              <a:extLst>
                <a:ext uri="{63B3BB69-23CF-44E3-9099-C40C66FF867C}">
                  <a14:compatExt spid="_x0000_s8665"/>
                </a:ext>
                <a:ext uri="{FF2B5EF4-FFF2-40B4-BE49-F238E27FC236}">
                  <a16:creationId xmlns:a16="http://schemas.microsoft.com/office/drawing/2014/main" id="{00000000-0008-0000-0000-0000D9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66" name="Group Box 1498" hidden="1">
              <a:extLst>
                <a:ext uri="{63B3BB69-23CF-44E3-9099-C40C66FF867C}">
                  <a14:compatExt spid="_x0000_s8666"/>
                </a:ext>
                <a:ext uri="{FF2B5EF4-FFF2-40B4-BE49-F238E27FC236}">
                  <a16:creationId xmlns:a16="http://schemas.microsoft.com/office/drawing/2014/main" id="{00000000-0008-0000-0000-0000DA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67" name="Group Box 1499" hidden="1">
              <a:extLst>
                <a:ext uri="{63B3BB69-23CF-44E3-9099-C40C66FF867C}">
                  <a14:compatExt spid="_x0000_s8667"/>
                </a:ext>
                <a:ext uri="{FF2B5EF4-FFF2-40B4-BE49-F238E27FC236}">
                  <a16:creationId xmlns:a16="http://schemas.microsoft.com/office/drawing/2014/main" id="{00000000-0008-0000-0000-0000DB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68" name="Group Box 1500" hidden="1">
              <a:extLst>
                <a:ext uri="{63B3BB69-23CF-44E3-9099-C40C66FF867C}">
                  <a14:compatExt spid="_x0000_s8668"/>
                </a:ext>
                <a:ext uri="{FF2B5EF4-FFF2-40B4-BE49-F238E27FC236}">
                  <a16:creationId xmlns:a16="http://schemas.microsoft.com/office/drawing/2014/main" id="{00000000-0008-0000-0000-0000DC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69" name="Group Box 1501" hidden="1">
              <a:extLst>
                <a:ext uri="{63B3BB69-23CF-44E3-9099-C40C66FF867C}">
                  <a14:compatExt spid="_x0000_s8669"/>
                </a:ext>
                <a:ext uri="{FF2B5EF4-FFF2-40B4-BE49-F238E27FC236}">
                  <a16:creationId xmlns:a16="http://schemas.microsoft.com/office/drawing/2014/main" id="{00000000-0008-0000-0000-0000DD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70" name="Group Box 1502" hidden="1">
              <a:extLst>
                <a:ext uri="{63B3BB69-23CF-44E3-9099-C40C66FF867C}">
                  <a14:compatExt spid="_x0000_s8670"/>
                </a:ext>
                <a:ext uri="{FF2B5EF4-FFF2-40B4-BE49-F238E27FC236}">
                  <a16:creationId xmlns:a16="http://schemas.microsoft.com/office/drawing/2014/main" id="{00000000-0008-0000-0000-0000DE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71" name="Group Box 1503" hidden="1">
              <a:extLst>
                <a:ext uri="{63B3BB69-23CF-44E3-9099-C40C66FF867C}">
                  <a14:compatExt spid="_x0000_s8671"/>
                </a:ext>
                <a:ext uri="{FF2B5EF4-FFF2-40B4-BE49-F238E27FC236}">
                  <a16:creationId xmlns:a16="http://schemas.microsoft.com/office/drawing/2014/main" id="{00000000-0008-0000-0000-0000DF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72" name="Group Box 1504" hidden="1">
              <a:extLst>
                <a:ext uri="{63B3BB69-23CF-44E3-9099-C40C66FF867C}">
                  <a14:compatExt spid="_x0000_s8672"/>
                </a:ext>
                <a:ext uri="{FF2B5EF4-FFF2-40B4-BE49-F238E27FC236}">
                  <a16:creationId xmlns:a16="http://schemas.microsoft.com/office/drawing/2014/main" id="{00000000-0008-0000-0000-0000E0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73" name="Group Box 1505" hidden="1">
              <a:extLst>
                <a:ext uri="{63B3BB69-23CF-44E3-9099-C40C66FF867C}">
                  <a14:compatExt spid="_x0000_s8673"/>
                </a:ext>
                <a:ext uri="{FF2B5EF4-FFF2-40B4-BE49-F238E27FC236}">
                  <a16:creationId xmlns:a16="http://schemas.microsoft.com/office/drawing/2014/main" id="{00000000-0008-0000-0000-0000E1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74" name="Group Box 1506" hidden="1">
              <a:extLst>
                <a:ext uri="{63B3BB69-23CF-44E3-9099-C40C66FF867C}">
                  <a14:compatExt spid="_x0000_s8674"/>
                </a:ext>
                <a:ext uri="{FF2B5EF4-FFF2-40B4-BE49-F238E27FC236}">
                  <a16:creationId xmlns:a16="http://schemas.microsoft.com/office/drawing/2014/main" id="{00000000-0008-0000-0000-0000E2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75" name="Group Box 1507" hidden="1">
              <a:extLst>
                <a:ext uri="{63B3BB69-23CF-44E3-9099-C40C66FF867C}">
                  <a14:compatExt spid="_x0000_s8675"/>
                </a:ext>
                <a:ext uri="{FF2B5EF4-FFF2-40B4-BE49-F238E27FC236}">
                  <a16:creationId xmlns:a16="http://schemas.microsoft.com/office/drawing/2014/main" id="{00000000-0008-0000-0000-0000E3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76" name="Group Box 1508" hidden="1">
              <a:extLst>
                <a:ext uri="{63B3BB69-23CF-44E3-9099-C40C66FF867C}">
                  <a14:compatExt spid="_x0000_s8676"/>
                </a:ext>
                <a:ext uri="{FF2B5EF4-FFF2-40B4-BE49-F238E27FC236}">
                  <a16:creationId xmlns:a16="http://schemas.microsoft.com/office/drawing/2014/main" id="{00000000-0008-0000-0000-0000E4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77" name="Group Box 1509" hidden="1">
              <a:extLst>
                <a:ext uri="{63B3BB69-23CF-44E3-9099-C40C66FF867C}">
                  <a14:compatExt spid="_x0000_s8677"/>
                </a:ext>
                <a:ext uri="{FF2B5EF4-FFF2-40B4-BE49-F238E27FC236}">
                  <a16:creationId xmlns:a16="http://schemas.microsoft.com/office/drawing/2014/main" id="{00000000-0008-0000-0000-0000E5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78" name="Group Box 1510" hidden="1">
              <a:extLst>
                <a:ext uri="{63B3BB69-23CF-44E3-9099-C40C66FF867C}">
                  <a14:compatExt spid="_x0000_s8678"/>
                </a:ext>
                <a:ext uri="{FF2B5EF4-FFF2-40B4-BE49-F238E27FC236}">
                  <a16:creationId xmlns:a16="http://schemas.microsoft.com/office/drawing/2014/main" id="{00000000-0008-0000-0000-0000E6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79" name="Group Box 1511" hidden="1">
              <a:extLst>
                <a:ext uri="{63B3BB69-23CF-44E3-9099-C40C66FF867C}">
                  <a14:compatExt spid="_x0000_s8679"/>
                </a:ext>
                <a:ext uri="{FF2B5EF4-FFF2-40B4-BE49-F238E27FC236}">
                  <a16:creationId xmlns:a16="http://schemas.microsoft.com/office/drawing/2014/main" id="{00000000-0008-0000-0000-0000E7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80" name="Group Box 1512" hidden="1">
              <a:extLst>
                <a:ext uri="{63B3BB69-23CF-44E3-9099-C40C66FF867C}">
                  <a14:compatExt spid="_x0000_s8680"/>
                </a:ext>
                <a:ext uri="{FF2B5EF4-FFF2-40B4-BE49-F238E27FC236}">
                  <a16:creationId xmlns:a16="http://schemas.microsoft.com/office/drawing/2014/main" id="{00000000-0008-0000-0000-0000E8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81" name="Group Box 1513" hidden="1">
              <a:extLst>
                <a:ext uri="{63B3BB69-23CF-44E3-9099-C40C66FF867C}">
                  <a14:compatExt spid="_x0000_s8681"/>
                </a:ext>
                <a:ext uri="{FF2B5EF4-FFF2-40B4-BE49-F238E27FC236}">
                  <a16:creationId xmlns:a16="http://schemas.microsoft.com/office/drawing/2014/main" id="{00000000-0008-0000-0000-0000E9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82" name="Group Box 1514" hidden="1">
              <a:extLst>
                <a:ext uri="{63B3BB69-23CF-44E3-9099-C40C66FF867C}">
                  <a14:compatExt spid="_x0000_s8682"/>
                </a:ext>
                <a:ext uri="{FF2B5EF4-FFF2-40B4-BE49-F238E27FC236}">
                  <a16:creationId xmlns:a16="http://schemas.microsoft.com/office/drawing/2014/main" id="{00000000-0008-0000-0000-0000EA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83" name="Group Box 1515" hidden="1">
              <a:extLst>
                <a:ext uri="{63B3BB69-23CF-44E3-9099-C40C66FF867C}">
                  <a14:compatExt spid="_x0000_s8683"/>
                </a:ext>
                <a:ext uri="{FF2B5EF4-FFF2-40B4-BE49-F238E27FC236}">
                  <a16:creationId xmlns:a16="http://schemas.microsoft.com/office/drawing/2014/main" id="{00000000-0008-0000-0000-0000EB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84" name="Group Box 1516" hidden="1">
              <a:extLst>
                <a:ext uri="{63B3BB69-23CF-44E3-9099-C40C66FF867C}">
                  <a14:compatExt spid="_x0000_s8684"/>
                </a:ext>
                <a:ext uri="{FF2B5EF4-FFF2-40B4-BE49-F238E27FC236}">
                  <a16:creationId xmlns:a16="http://schemas.microsoft.com/office/drawing/2014/main" id="{00000000-0008-0000-0000-0000EC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85" name="Group Box 1517" hidden="1">
              <a:extLst>
                <a:ext uri="{63B3BB69-23CF-44E3-9099-C40C66FF867C}">
                  <a14:compatExt spid="_x0000_s8685"/>
                </a:ext>
                <a:ext uri="{FF2B5EF4-FFF2-40B4-BE49-F238E27FC236}">
                  <a16:creationId xmlns:a16="http://schemas.microsoft.com/office/drawing/2014/main" id="{00000000-0008-0000-0000-0000ED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86" name="Group Box 1518" hidden="1">
              <a:extLst>
                <a:ext uri="{63B3BB69-23CF-44E3-9099-C40C66FF867C}">
                  <a14:compatExt spid="_x0000_s8686"/>
                </a:ext>
                <a:ext uri="{FF2B5EF4-FFF2-40B4-BE49-F238E27FC236}">
                  <a16:creationId xmlns:a16="http://schemas.microsoft.com/office/drawing/2014/main" id="{00000000-0008-0000-0000-0000EE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87" name="Group Box 1519" hidden="1">
              <a:extLst>
                <a:ext uri="{63B3BB69-23CF-44E3-9099-C40C66FF867C}">
                  <a14:compatExt spid="_x0000_s8687"/>
                </a:ext>
                <a:ext uri="{FF2B5EF4-FFF2-40B4-BE49-F238E27FC236}">
                  <a16:creationId xmlns:a16="http://schemas.microsoft.com/office/drawing/2014/main" id="{00000000-0008-0000-0000-0000EF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88" name="Group Box 1520" hidden="1">
              <a:extLst>
                <a:ext uri="{63B3BB69-23CF-44E3-9099-C40C66FF867C}">
                  <a14:compatExt spid="_x0000_s8688"/>
                </a:ext>
                <a:ext uri="{FF2B5EF4-FFF2-40B4-BE49-F238E27FC236}">
                  <a16:creationId xmlns:a16="http://schemas.microsoft.com/office/drawing/2014/main" id="{00000000-0008-0000-0000-0000F0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89" name="Group Box 1521" hidden="1">
              <a:extLst>
                <a:ext uri="{63B3BB69-23CF-44E3-9099-C40C66FF867C}">
                  <a14:compatExt spid="_x0000_s8689"/>
                </a:ext>
                <a:ext uri="{FF2B5EF4-FFF2-40B4-BE49-F238E27FC236}">
                  <a16:creationId xmlns:a16="http://schemas.microsoft.com/office/drawing/2014/main" id="{00000000-0008-0000-0000-0000F1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90" name="Group Box 1522" hidden="1">
              <a:extLst>
                <a:ext uri="{63B3BB69-23CF-44E3-9099-C40C66FF867C}">
                  <a14:compatExt spid="_x0000_s8690"/>
                </a:ext>
                <a:ext uri="{FF2B5EF4-FFF2-40B4-BE49-F238E27FC236}">
                  <a16:creationId xmlns:a16="http://schemas.microsoft.com/office/drawing/2014/main" id="{00000000-0008-0000-0000-0000F2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157</xdr:row>
          <xdr:rowOff>0</xdr:rowOff>
        </xdr:from>
        <xdr:to>
          <xdr:col>6</xdr:col>
          <xdr:colOff>0</xdr:colOff>
          <xdr:row>158</xdr:row>
          <xdr:rowOff>0</xdr:rowOff>
        </xdr:to>
        <xdr:sp macro="" textlink="">
          <xdr:nvSpPr>
            <xdr:cNvPr id="8691" name="Group Box 1523" hidden="1">
              <a:extLst>
                <a:ext uri="{63B3BB69-23CF-44E3-9099-C40C66FF867C}">
                  <a14:compatExt spid="_x0000_s8691"/>
                </a:ext>
                <a:ext uri="{FF2B5EF4-FFF2-40B4-BE49-F238E27FC236}">
                  <a16:creationId xmlns:a16="http://schemas.microsoft.com/office/drawing/2014/main" id="{00000000-0008-0000-0000-0000F3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45</xdr:row>
          <xdr:rowOff>0</xdr:rowOff>
        </xdr:from>
        <xdr:to>
          <xdr:col>4</xdr:col>
          <xdr:colOff>0</xdr:colOff>
          <xdr:row>47</xdr:row>
          <xdr:rowOff>0</xdr:rowOff>
        </xdr:to>
        <xdr:sp macro="" textlink="">
          <xdr:nvSpPr>
            <xdr:cNvPr id="9053" name="Group Box 1885" hidden="1">
              <a:extLst>
                <a:ext uri="{63B3BB69-23CF-44E3-9099-C40C66FF867C}">
                  <a14:compatExt spid="_x0000_s9053"/>
                </a:ext>
                <a:ext uri="{FF2B5EF4-FFF2-40B4-BE49-F238E27FC236}">
                  <a16:creationId xmlns:a16="http://schemas.microsoft.com/office/drawing/2014/main" id="{00000000-0008-0000-0000-00005D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45</xdr:row>
          <xdr:rowOff>0</xdr:rowOff>
        </xdr:from>
        <xdr:to>
          <xdr:col>4</xdr:col>
          <xdr:colOff>0</xdr:colOff>
          <xdr:row>47</xdr:row>
          <xdr:rowOff>0</xdr:rowOff>
        </xdr:to>
        <xdr:sp macro="" textlink="">
          <xdr:nvSpPr>
            <xdr:cNvPr id="9054" name="Group Box 1886" hidden="1">
              <a:extLst>
                <a:ext uri="{63B3BB69-23CF-44E3-9099-C40C66FF867C}">
                  <a14:compatExt spid="_x0000_s9054"/>
                </a:ext>
                <a:ext uri="{FF2B5EF4-FFF2-40B4-BE49-F238E27FC236}">
                  <a16:creationId xmlns:a16="http://schemas.microsoft.com/office/drawing/2014/main" id="{00000000-0008-0000-0000-00005E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45</xdr:row>
          <xdr:rowOff>0</xdr:rowOff>
        </xdr:from>
        <xdr:to>
          <xdr:col>4</xdr:col>
          <xdr:colOff>0</xdr:colOff>
          <xdr:row>47</xdr:row>
          <xdr:rowOff>0</xdr:rowOff>
        </xdr:to>
        <xdr:sp macro="" textlink="">
          <xdr:nvSpPr>
            <xdr:cNvPr id="9055" name="Group Box 1887" hidden="1">
              <a:extLst>
                <a:ext uri="{63B3BB69-23CF-44E3-9099-C40C66FF867C}">
                  <a14:compatExt spid="_x0000_s9055"/>
                </a:ext>
                <a:ext uri="{FF2B5EF4-FFF2-40B4-BE49-F238E27FC236}">
                  <a16:creationId xmlns:a16="http://schemas.microsoft.com/office/drawing/2014/main" id="{00000000-0008-0000-0000-00005F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45</xdr:row>
          <xdr:rowOff>0</xdr:rowOff>
        </xdr:from>
        <xdr:to>
          <xdr:col>4</xdr:col>
          <xdr:colOff>0</xdr:colOff>
          <xdr:row>47</xdr:row>
          <xdr:rowOff>0</xdr:rowOff>
        </xdr:to>
        <xdr:sp macro="" textlink="">
          <xdr:nvSpPr>
            <xdr:cNvPr id="9056" name="Group Box 1888" hidden="1">
              <a:extLst>
                <a:ext uri="{63B3BB69-23CF-44E3-9099-C40C66FF867C}">
                  <a14:compatExt spid="_x0000_s9056"/>
                </a:ext>
                <a:ext uri="{FF2B5EF4-FFF2-40B4-BE49-F238E27FC236}">
                  <a16:creationId xmlns:a16="http://schemas.microsoft.com/office/drawing/2014/main" id="{00000000-0008-0000-0000-000060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45</xdr:row>
          <xdr:rowOff>0</xdr:rowOff>
        </xdr:from>
        <xdr:to>
          <xdr:col>4</xdr:col>
          <xdr:colOff>0</xdr:colOff>
          <xdr:row>47</xdr:row>
          <xdr:rowOff>0</xdr:rowOff>
        </xdr:to>
        <xdr:sp macro="" textlink="">
          <xdr:nvSpPr>
            <xdr:cNvPr id="9057" name="Group Box 1889" hidden="1">
              <a:extLst>
                <a:ext uri="{63B3BB69-23CF-44E3-9099-C40C66FF867C}">
                  <a14:compatExt spid="_x0000_s9057"/>
                </a:ext>
                <a:ext uri="{FF2B5EF4-FFF2-40B4-BE49-F238E27FC236}">
                  <a16:creationId xmlns:a16="http://schemas.microsoft.com/office/drawing/2014/main" id="{00000000-0008-0000-0000-000061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45</xdr:row>
          <xdr:rowOff>0</xdr:rowOff>
        </xdr:from>
        <xdr:to>
          <xdr:col>4</xdr:col>
          <xdr:colOff>0</xdr:colOff>
          <xdr:row>47</xdr:row>
          <xdr:rowOff>0</xdr:rowOff>
        </xdr:to>
        <xdr:sp macro="" textlink="">
          <xdr:nvSpPr>
            <xdr:cNvPr id="9058" name="Group Box 1890" hidden="1">
              <a:extLst>
                <a:ext uri="{63B3BB69-23CF-44E3-9099-C40C66FF867C}">
                  <a14:compatExt spid="_x0000_s9058"/>
                </a:ext>
                <a:ext uri="{FF2B5EF4-FFF2-40B4-BE49-F238E27FC236}">
                  <a16:creationId xmlns:a16="http://schemas.microsoft.com/office/drawing/2014/main" id="{00000000-0008-0000-0000-000062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45</xdr:row>
          <xdr:rowOff>0</xdr:rowOff>
        </xdr:from>
        <xdr:to>
          <xdr:col>4</xdr:col>
          <xdr:colOff>0</xdr:colOff>
          <xdr:row>47</xdr:row>
          <xdr:rowOff>0</xdr:rowOff>
        </xdr:to>
        <xdr:sp macro="" textlink="">
          <xdr:nvSpPr>
            <xdr:cNvPr id="9059" name="Group Box 1891" hidden="1">
              <a:extLst>
                <a:ext uri="{63B3BB69-23CF-44E3-9099-C40C66FF867C}">
                  <a14:compatExt spid="_x0000_s9059"/>
                </a:ext>
                <a:ext uri="{FF2B5EF4-FFF2-40B4-BE49-F238E27FC236}">
                  <a16:creationId xmlns:a16="http://schemas.microsoft.com/office/drawing/2014/main" id="{00000000-0008-0000-0000-000063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45</xdr:row>
          <xdr:rowOff>0</xdr:rowOff>
        </xdr:from>
        <xdr:to>
          <xdr:col>4</xdr:col>
          <xdr:colOff>0</xdr:colOff>
          <xdr:row>47</xdr:row>
          <xdr:rowOff>0</xdr:rowOff>
        </xdr:to>
        <xdr:sp macro="" textlink="">
          <xdr:nvSpPr>
            <xdr:cNvPr id="9060" name="Group Box 1892" hidden="1">
              <a:extLst>
                <a:ext uri="{63B3BB69-23CF-44E3-9099-C40C66FF867C}">
                  <a14:compatExt spid="_x0000_s9060"/>
                </a:ext>
                <a:ext uri="{FF2B5EF4-FFF2-40B4-BE49-F238E27FC236}">
                  <a16:creationId xmlns:a16="http://schemas.microsoft.com/office/drawing/2014/main" id="{00000000-0008-0000-0000-000064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45</xdr:row>
          <xdr:rowOff>0</xdr:rowOff>
        </xdr:from>
        <xdr:to>
          <xdr:col>4</xdr:col>
          <xdr:colOff>0</xdr:colOff>
          <xdr:row>47</xdr:row>
          <xdr:rowOff>0</xdr:rowOff>
        </xdr:to>
        <xdr:sp macro="" textlink="">
          <xdr:nvSpPr>
            <xdr:cNvPr id="9061" name="Group Box 1893" hidden="1">
              <a:extLst>
                <a:ext uri="{63B3BB69-23CF-44E3-9099-C40C66FF867C}">
                  <a14:compatExt spid="_x0000_s9061"/>
                </a:ext>
                <a:ext uri="{FF2B5EF4-FFF2-40B4-BE49-F238E27FC236}">
                  <a16:creationId xmlns:a16="http://schemas.microsoft.com/office/drawing/2014/main" id="{00000000-0008-0000-0000-000065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45</xdr:row>
          <xdr:rowOff>0</xdr:rowOff>
        </xdr:from>
        <xdr:to>
          <xdr:col>4</xdr:col>
          <xdr:colOff>0</xdr:colOff>
          <xdr:row>47</xdr:row>
          <xdr:rowOff>0</xdr:rowOff>
        </xdr:to>
        <xdr:sp macro="" textlink="">
          <xdr:nvSpPr>
            <xdr:cNvPr id="9062" name="Group Box 1894" hidden="1">
              <a:extLst>
                <a:ext uri="{63B3BB69-23CF-44E3-9099-C40C66FF867C}">
                  <a14:compatExt spid="_x0000_s9062"/>
                </a:ext>
                <a:ext uri="{FF2B5EF4-FFF2-40B4-BE49-F238E27FC236}">
                  <a16:creationId xmlns:a16="http://schemas.microsoft.com/office/drawing/2014/main" id="{00000000-0008-0000-0000-000066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63" name="Group Box 1895" hidden="1">
              <a:extLst>
                <a:ext uri="{63B3BB69-23CF-44E3-9099-C40C66FF867C}">
                  <a14:compatExt spid="_x0000_s9063"/>
                </a:ext>
                <a:ext uri="{FF2B5EF4-FFF2-40B4-BE49-F238E27FC236}">
                  <a16:creationId xmlns:a16="http://schemas.microsoft.com/office/drawing/2014/main" id="{00000000-0008-0000-0000-000067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64" name="Group Box 1896" hidden="1">
              <a:extLst>
                <a:ext uri="{63B3BB69-23CF-44E3-9099-C40C66FF867C}">
                  <a14:compatExt spid="_x0000_s9064"/>
                </a:ext>
                <a:ext uri="{FF2B5EF4-FFF2-40B4-BE49-F238E27FC236}">
                  <a16:creationId xmlns:a16="http://schemas.microsoft.com/office/drawing/2014/main" id="{00000000-0008-0000-0000-000068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65" name="Group Box 1897" hidden="1">
              <a:extLst>
                <a:ext uri="{63B3BB69-23CF-44E3-9099-C40C66FF867C}">
                  <a14:compatExt spid="_x0000_s9065"/>
                </a:ext>
                <a:ext uri="{FF2B5EF4-FFF2-40B4-BE49-F238E27FC236}">
                  <a16:creationId xmlns:a16="http://schemas.microsoft.com/office/drawing/2014/main" id="{00000000-0008-0000-0000-000069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66" name="Group Box 1898" hidden="1">
              <a:extLst>
                <a:ext uri="{63B3BB69-23CF-44E3-9099-C40C66FF867C}">
                  <a14:compatExt spid="_x0000_s9066"/>
                </a:ext>
                <a:ext uri="{FF2B5EF4-FFF2-40B4-BE49-F238E27FC236}">
                  <a16:creationId xmlns:a16="http://schemas.microsoft.com/office/drawing/2014/main" id="{00000000-0008-0000-0000-00006A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67" name="Group Box 1899" hidden="1">
              <a:extLst>
                <a:ext uri="{63B3BB69-23CF-44E3-9099-C40C66FF867C}">
                  <a14:compatExt spid="_x0000_s9067"/>
                </a:ext>
                <a:ext uri="{FF2B5EF4-FFF2-40B4-BE49-F238E27FC236}">
                  <a16:creationId xmlns:a16="http://schemas.microsoft.com/office/drawing/2014/main" id="{00000000-0008-0000-0000-00006B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68" name="Group Box 1900" hidden="1">
              <a:extLst>
                <a:ext uri="{63B3BB69-23CF-44E3-9099-C40C66FF867C}">
                  <a14:compatExt spid="_x0000_s9068"/>
                </a:ext>
                <a:ext uri="{FF2B5EF4-FFF2-40B4-BE49-F238E27FC236}">
                  <a16:creationId xmlns:a16="http://schemas.microsoft.com/office/drawing/2014/main" id="{00000000-0008-0000-0000-00006C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69" name="Group Box 1901" hidden="1">
              <a:extLst>
                <a:ext uri="{63B3BB69-23CF-44E3-9099-C40C66FF867C}">
                  <a14:compatExt spid="_x0000_s9069"/>
                </a:ext>
                <a:ext uri="{FF2B5EF4-FFF2-40B4-BE49-F238E27FC236}">
                  <a16:creationId xmlns:a16="http://schemas.microsoft.com/office/drawing/2014/main" id="{00000000-0008-0000-0000-00006D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70" name="Group Box 1902" hidden="1">
              <a:extLst>
                <a:ext uri="{63B3BB69-23CF-44E3-9099-C40C66FF867C}">
                  <a14:compatExt spid="_x0000_s9070"/>
                </a:ext>
                <a:ext uri="{FF2B5EF4-FFF2-40B4-BE49-F238E27FC236}">
                  <a16:creationId xmlns:a16="http://schemas.microsoft.com/office/drawing/2014/main" id="{00000000-0008-0000-0000-00006E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71" name="Group Box 1903" hidden="1">
              <a:extLst>
                <a:ext uri="{63B3BB69-23CF-44E3-9099-C40C66FF867C}">
                  <a14:compatExt spid="_x0000_s9071"/>
                </a:ext>
                <a:ext uri="{FF2B5EF4-FFF2-40B4-BE49-F238E27FC236}">
                  <a16:creationId xmlns:a16="http://schemas.microsoft.com/office/drawing/2014/main" id="{00000000-0008-0000-0000-00006F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72" name="Group Box 1904" hidden="1">
              <a:extLst>
                <a:ext uri="{63B3BB69-23CF-44E3-9099-C40C66FF867C}">
                  <a14:compatExt spid="_x0000_s9072"/>
                </a:ext>
                <a:ext uri="{FF2B5EF4-FFF2-40B4-BE49-F238E27FC236}">
                  <a16:creationId xmlns:a16="http://schemas.microsoft.com/office/drawing/2014/main" id="{00000000-0008-0000-0000-000070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73" name="Group Box 1905" hidden="1">
              <a:extLst>
                <a:ext uri="{63B3BB69-23CF-44E3-9099-C40C66FF867C}">
                  <a14:compatExt spid="_x0000_s9073"/>
                </a:ext>
                <a:ext uri="{FF2B5EF4-FFF2-40B4-BE49-F238E27FC236}">
                  <a16:creationId xmlns:a16="http://schemas.microsoft.com/office/drawing/2014/main" id="{00000000-0008-0000-0000-000071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74" name="Group Box 1906" hidden="1">
              <a:extLst>
                <a:ext uri="{63B3BB69-23CF-44E3-9099-C40C66FF867C}">
                  <a14:compatExt spid="_x0000_s9074"/>
                </a:ext>
                <a:ext uri="{FF2B5EF4-FFF2-40B4-BE49-F238E27FC236}">
                  <a16:creationId xmlns:a16="http://schemas.microsoft.com/office/drawing/2014/main" id="{00000000-0008-0000-0000-000072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75" name="Group Box 1907" hidden="1">
              <a:extLst>
                <a:ext uri="{63B3BB69-23CF-44E3-9099-C40C66FF867C}">
                  <a14:compatExt spid="_x0000_s9075"/>
                </a:ext>
                <a:ext uri="{FF2B5EF4-FFF2-40B4-BE49-F238E27FC236}">
                  <a16:creationId xmlns:a16="http://schemas.microsoft.com/office/drawing/2014/main" id="{00000000-0008-0000-0000-000073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76" name="Group Box 1908" hidden="1">
              <a:extLst>
                <a:ext uri="{63B3BB69-23CF-44E3-9099-C40C66FF867C}">
                  <a14:compatExt spid="_x0000_s9076"/>
                </a:ext>
                <a:ext uri="{FF2B5EF4-FFF2-40B4-BE49-F238E27FC236}">
                  <a16:creationId xmlns:a16="http://schemas.microsoft.com/office/drawing/2014/main" id="{00000000-0008-0000-0000-000074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77" name="Group Box 1909" hidden="1">
              <a:extLst>
                <a:ext uri="{63B3BB69-23CF-44E3-9099-C40C66FF867C}">
                  <a14:compatExt spid="_x0000_s9077"/>
                </a:ext>
                <a:ext uri="{FF2B5EF4-FFF2-40B4-BE49-F238E27FC236}">
                  <a16:creationId xmlns:a16="http://schemas.microsoft.com/office/drawing/2014/main" id="{00000000-0008-0000-0000-000075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78" name="Group Box 1910" hidden="1">
              <a:extLst>
                <a:ext uri="{63B3BB69-23CF-44E3-9099-C40C66FF867C}">
                  <a14:compatExt spid="_x0000_s9078"/>
                </a:ext>
                <a:ext uri="{FF2B5EF4-FFF2-40B4-BE49-F238E27FC236}">
                  <a16:creationId xmlns:a16="http://schemas.microsoft.com/office/drawing/2014/main" id="{00000000-0008-0000-0000-000076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79" name="Group Box 1911" hidden="1">
              <a:extLst>
                <a:ext uri="{63B3BB69-23CF-44E3-9099-C40C66FF867C}">
                  <a14:compatExt spid="_x0000_s9079"/>
                </a:ext>
                <a:ext uri="{FF2B5EF4-FFF2-40B4-BE49-F238E27FC236}">
                  <a16:creationId xmlns:a16="http://schemas.microsoft.com/office/drawing/2014/main" id="{00000000-0008-0000-0000-000077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80" name="Group Box 1912" hidden="1">
              <a:extLst>
                <a:ext uri="{63B3BB69-23CF-44E3-9099-C40C66FF867C}">
                  <a14:compatExt spid="_x0000_s9080"/>
                </a:ext>
                <a:ext uri="{FF2B5EF4-FFF2-40B4-BE49-F238E27FC236}">
                  <a16:creationId xmlns:a16="http://schemas.microsoft.com/office/drawing/2014/main" id="{00000000-0008-0000-0000-000078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81" name="Group Box 1913" hidden="1">
              <a:extLst>
                <a:ext uri="{63B3BB69-23CF-44E3-9099-C40C66FF867C}">
                  <a14:compatExt spid="_x0000_s9081"/>
                </a:ext>
                <a:ext uri="{FF2B5EF4-FFF2-40B4-BE49-F238E27FC236}">
                  <a16:creationId xmlns:a16="http://schemas.microsoft.com/office/drawing/2014/main" id="{00000000-0008-0000-0000-000079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82" name="Group Box 1914" hidden="1">
              <a:extLst>
                <a:ext uri="{63B3BB69-23CF-44E3-9099-C40C66FF867C}">
                  <a14:compatExt spid="_x0000_s9082"/>
                </a:ext>
                <a:ext uri="{FF2B5EF4-FFF2-40B4-BE49-F238E27FC236}">
                  <a16:creationId xmlns:a16="http://schemas.microsoft.com/office/drawing/2014/main" id="{00000000-0008-0000-0000-00007A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83" name="Group Box 1915" hidden="1">
              <a:extLst>
                <a:ext uri="{63B3BB69-23CF-44E3-9099-C40C66FF867C}">
                  <a14:compatExt spid="_x0000_s9083"/>
                </a:ext>
                <a:ext uri="{FF2B5EF4-FFF2-40B4-BE49-F238E27FC236}">
                  <a16:creationId xmlns:a16="http://schemas.microsoft.com/office/drawing/2014/main" id="{00000000-0008-0000-0000-00007B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84" name="Group Box 1916" hidden="1">
              <a:extLst>
                <a:ext uri="{63B3BB69-23CF-44E3-9099-C40C66FF867C}">
                  <a14:compatExt spid="_x0000_s9084"/>
                </a:ext>
                <a:ext uri="{FF2B5EF4-FFF2-40B4-BE49-F238E27FC236}">
                  <a16:creationId xmlns:a16="http://schemas.microsoft.com/office/drawing/2014/main" id="{00000000-0008-0000-0000-00007C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85" name="Group Box 1917" hidden="1">
              <a:extLst>
                <a:ext uri="{63B3BB69-23CF-44E3-9099-C40C66FF867C}">
                  <a14:compatExt spid="_x0000_s9085"/>
                </a:ext>
                <a:ext uri="{FF2B5EF4-FFF2-40B4-BE49-F238E27FC236}">
                  <a16:creationId xmlns:a16="http://schemas.microsoft.com/office/drawing/2014/main" id="{00000000-0008-0000-0000-00007D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45</xdr:row>
          <xdr:rowOff>0</xdr:rowOff>
        </xdr:from>
        <xdr:to>
          <xdr:col>11</xdr:col>
          <xdr:colOff>0</xdr:colOff>
          <xdr:row>47</xdr:row>
          <xdr:rowOff>0</xdr:rowOff>
        </xdr:to>
        <xdr:sp macro="" textlink="">
          <xdr:nvSpPr>
            <xdr:cNvPr id="9086" name="Group Box 1918" hidden="1">
              <a:extLst>
                <a:ext uri="{63B3BB69-23CF-44E3-9099-C40C66FF867C}">
                  <a14:compatExt spid="_x0000_s9086"/>
                </a:ext>
                <a:ext uri="{FF2B5EF4-FFF2-40B4-BE49-F238E27FC236}">
                  <a16:creationId xmlns:a16="http://schemas.microsoft.com/office/drawing/2014/main" id="{00000000-0008-0000-0000-00007E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28" name="Group Box 2116" hidden="1">
              <a:extLst>
                <a:ext uri="{63B3BB69-23CF-44E3-9099-C40C66FF867C}">
                  <a14:compatExt spid="_x0000_s15428"/>
                </a:ext>
                <a:ext uri="{FF2B5EF4-FFF2-40B4-BE49-F238E27FC236}">
                  <a16:creationId xmlns:a16="http://schemas.microsoft.com/office/drawing/2014/main" id="{00000000-0008-0000-0000-000044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29" name="Group Box 2117" hidden="1">
              <a:extLst>
                <a:ext uri="{63B3BB69-23CF-44E3-9099-C40C66FF867C}">
                  <a14:compatExt spid="_x0000_s15429"/>
                </a:ext>
                <a:ext uri="{FF2B5EF4-FFF2-40B4-BE49-F238E27FC236}">
                  <a16:creationId xmlns:a16="http://schemas.microsoft.com/office/drawing/2014/main" id="{00000000-0008-0000-0000-000045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30" name="Group Box 2118" hidden="1">
              <a:extLst>
                <a:ext uri="{63B3BB69-23CF-44E3-9099-C40C66FF867C}">
                  <a14:compatExt spid="_x0000_s15430"/>
                </a:ext>
                <a:ext uri="{FF2B5EF4-FFF2-40B4-BE49-F238E27FC236}">
                  <a16:creationId xmlns:a16="http://schemas.microsoft.com/office/drawing/2014/main" id="{00000000-0008-0000-0000-000046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31" name="Group Box 2119" hidden="1">
              <a:extLst>
                <a:ext uri="{63B3BB69-23CF-44E3-9099-C40C66FF867C}">
                  <a14:compatExt spid="_x0000_s15431"/>
                </a:ext>
                <a:ext uri="{FF2B5EF4-FFF2-40B4-BE49-F238E27FC236}">
                  <a16:creationId xmlns:a16="http://schemas.microsoft.com/office/drawing/2014/main" id="{00000000-0008-0000-0000-00004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32" name="Group Box 2120" hidden="1">
              <a:extLst>
                <a:ext uri="{63B3BB69-23CF-44E3-9099-C40C66FF867C}">
                  <a14:compatExt spid="_x0000_s15432"/>
                </a:ext>
                <a:ext uri="{FF2B5EF4-FFF2-40B4-BE49-F238E27FC236}">
                  <a16:creationId xmlns:a16="http://schemas.microsoft.com/office/drawing/2014/main" id="{00000000-0008-0000-0000-000048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33" name="Group Box 2121" hidden="1">
              <a:extLst>
                <a:ext uri="{63B3BB69-23CF-44E3-9099-C40C66FF867C}">
                  <a14:compatExt spid="_x0000_s15433"/>
                </a:ext>
                <a:ext uri="{FF2B5EF4-FFF2-40B4-BE49-F238E27FC236}">
                  <a16:creationId xmlns:a16="http://schemas.microsoft.com/office/drawing/2014/main" id="{00000000-0008-0000-0000-000049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34" name="Group Box 2122" hidden="1">
              <a:extLst>
                <a:ext uri="{63B3BB69-23CF-44E3-9099-C40C66FF867C}">
                  <a14:compatExt spid="_x0000_s15434"/>
                </a:ext>
                <a:ext uri="{FF2B5EF4-FFF2-40B4-BE49-F238E27FC236}">
                  <a16:creationId xmlns:a16="http://schemas.microsoft.com/office/drawing/2014/main" id="{00000000-0008-0000-0000-00004A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35" name="Group Box 2123" hidden="1">
              <a:extLst>
                <a:ext uri="{63B3BB69-23CF-44E3-9099-C40C66FF867C}">
                  <a14:compatExt spid="_x0000_s15435"/>
                </a:ext>
                <a:ext uri="{FF2B5EF4-FFF2-40B4-BE49-F238E27FC236}">
                  <a16:creationId xmlns:a16="http://schemas.microsoft.com/office/drawing/2014/main" id="{00000000-0008-0000-0000-00004B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36" name="Group Box 2124" hidden="1">
              <a:extLst>
                <a:ext uri="{63B3BB69-23CF-44E3-9099-C40C66FF867C}">
                  <a14:compatExt spid="_x0000_s15436"/>
                </a:ext>
                <a:ext uri="{FF2B5EF4-FFF2-40B4-BE49-F238E27FC236}">
                  <a16:creationId xmlns:a16="http://schemas.microsoft.com/office/drawing/2014/main" id="{00000000-0008-0000-0000-00004C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37" name="Group Box 2125" hidden="1">
              <a:extLst>
                <a:ext uri="{63B3BB69-23CF-44E3-9099-C40C66FF867C}">
                  <a14:compatExt spid="_x0000_s15437"/>
                </a:ext>
                <a:ext uri="{FF2B5EF4-FFF2-40B4-BE49-F238E27FC236}">
                  <a16:creationId xmlns:a16="http://schemas.microsoft.com/office/drawing/2014/main" id="{00000000-0008-0000-0000-00004D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38" name="Group Box 2126" hidden="1">
              <a:extLst>
                <a:ext uri="{63B3BB69-23CF-44E3-9099-C40C66FF867C}">
                  <a14:compatExt spid="_x0000_s15438"/>
                </a:ext>
                <a:ext uri="{FF2B5EF4-FFF2-40B4-BE49-F238E27FC236}">
                  <a16:creationId xmlns:a16="http://schemas.microsoft.com/office/drawing/2014/main" id="{00000000-0008-0000-0000-00004E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39" name="Group Box 2127" hidden="1">
              <a:extLst>
                <a:ext uri="{63B3BB69-23CF-44E3-9099-C40C66FF867C}">
                  <a14:compatExt spid="_x0000_s15439"/>
                </a:ext>
                <a:ext uri="{FF2B5EF4-FFF2-40B4-BE49-F238E27FC236}">
                  <a16:creationId xmlns:a16="http://schemas.microsoft.com/office/drawing/2014/main" id="{00000000-0008-0000-0000-00004F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40" name="Group Box 2128" hidden="1">
              <a:extLst>
                <a:ext uri="{63B3BB69-23CF-44E3-9099-C40C66FF867C}">
                  <a14:compatExt spid="_x0000_s15440"/>
                </a:ext>
                <a:ext uri="{FF2B5EF4-FFF2-40B4-BE49-F238E27FC236}">
                  <a16:creationId xmlns:a16="http://schemas.microsoft.com/office/drawing/2014/main" id="{00000000-0008-0000-0000-000050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41" name="Group Box 2129" hidden="1">
              <a:extLst>
                <a:ext uri="{63B3BB69-23CF-44E3-9099-C40C66FF867C}">
                  <a14:compatExt spid="_x0000_s15441"/>
                </a:ext>
                <a:ext uri="{FF2B5EF4-FFF2-40B4-BE49-F238E27FC236}">
                  <a16:creationId xmlns:a16="http://schemas.microsoft.com/office/drawing/2014/main" id="{00000000-0008-0000-0000-000051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42" name="Group Box 2130" hidden="1">
              <a:extLst>
                <a:ext uri="{63B3BB69-23CF-44E3-9099-C40C66FF867C}">
                  <a14:compatExt spid="_x0000_s15442"/>
                </a:ext>
                <a:ext uri="{FF2B5EF4-FFF2-40B4-BE49-F238E27FC236}">
                  <a16:creationId xmlns:a16="http://schemas.microsoft.com/office/drawing/2014/main" id="{00000000-0008-0000-0000-000052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43" name="Group Box 2131" hidden="1">
              <a:extLst>
                <a:ext uri="{63B3BB69-23CF-44E3-9099-C40C66FF867C}">
                  <a14:compatExt spid="_x0000_s15443"/>
                </a:ext>
                <a:ext uri="{FF2B5EF4-FFF2-40B4-BE49-F238E27FC236}">
                  <a16:creationId xmlns:a16="http://schemas.microsoft.com/office/drawing/2014/main" id="{00000000-0008-0000-0000-000053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44" name="Group Box 2132" hidden="1">
              <a:extLst>
                <a:ext uri="{63B3BB69-23CF-44E3-9099-C40C66FF867C}">
                  <a14:compatExt spid="_x0000_s15444"/>
                </a:ext>
                <a:ext uri="{FF2B5EF4-FFF2-40B4-BE49-F238E27FC236}">
                  <a16:creationId xmlns:a16="http://schemas.microsoft.com/office/drawing/2014/main" id="{00000000-0008-0000-0000-000054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45" name="Group Box 2133" hidden="1">
              <a:extLst>
                <a:ext uri="{63B3BB69-23CF-44E3-9099-C40C66FF867C}">
                  <a14:compatExt spid="_x0000_s15445"/>
                </a:ext>
                <a:ext uri="{FF2B5EF4-FFF2-40B4-BE49-F238E27FC236}">
                  <a16:creationId xmlns:a16="http://schemas.microsoft.com/office/drawing/2014/main" id="{00000000-0008-0000-0000-000055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46" name="Group Box 2134" hidden="1">
              <a:extLst>
                <a:ext uri="{63B3BB69-23CF-44E3-9099-C40C66FF867C}">
                  <a14:compatExt spid="_x0000_s15446"/>
                </a:ext>
                <a:ext uri="{FF2B5EF4-FFF2-40B4-BE49-F238E27FC236}">
                  <a16:creationId xmlns:a16="http://schemas.microsoft.com/office/drawing/2014/main" id="{00000000-0008-0000-0000-000056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47" name="Group Box 2135" hidden="1">
              <a:extLst>
                <a:ext uri="{63B3BB69-23CF-44E3-9099-C40C66FF867C}">
                  <a14:compatExt spid="_x0000_s15447"/>
                </a:ext>
                <a:ext uri="{FF2B5EF4-FFF2-40B4-BE49-F238E27FC236}">
                  <a16:creationId xmlns:a16="http://schemas.microsoft.com/office/drawing/2014/main" id="{00000000-0008-0000-0000-00005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48" name="Group Box 2136" hidden="1">
              <a:extLst>
                <a:ext uri="{63B3BB69-23CF-44E3-9099-C40C66FF867C}">
                  <a14:compatExt spid="_x0000_s15448"/>
                </a:ext>
                <a:ext uri="{FF2B5EF4-FFF2-40B4-BE49-F238E27FC236}">
                  <a16:creationId xmlns:a16="http://schemas.microsoft.com/office/drawing/2014/main" id="{00000000-0008-0000-0000-000058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49" name="Group Box 2137" hidden="1">
              <a:extLst>
                <a:ext uri="{63B3BB69-23CF-44E3-9099-C40C66FF867C}">
                  <a14:compatExt spid="_x0000_s15449"/>
                </a:ext>
                <a:ext uri="{FF2B5EF4-FFF2-40B4-BE49-F238E27FC236}">
                  <a16:creationId xmlns:a16="http://schemas.microsoft.com/office/drawing/2014/main" id="{00000000-0008-0000-0000-000059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50" name="Group Box 2138" hidden="1">
              <a:extLst>
                <a:ext uri="{63B3BB69-23CF-44E3-9099-C40C66FF867C}">
                  <a14:compatExt spid="_x0000_s15450"/>
                </a:ext>
                <a:ext uri="{FF2B5EF4-FFF2-40B4-BE49-F238E27FC236}">
                  <a16:creationId xmlns:a16="http://schemas.microsoft.com/office/drawing/2014/main" id="{00000000-0008-0000-0000-00005A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51" name="Group Box 2139" hidden="1">
              <a:extLst>
                <a:ext uri="{63B3BB69-23CF-44E3-9099-C40C66FF867C}">
                  <a14:compatExt spid="_x0000_s15451"/>
                </a:ext>
                <a:ext uri="{FF2B5EF4-FFF2-40B4-BE49-F238E27FC236}">
                  <a16:creationId xmlns:a16="http://schemas.microsoft.com/office/drawing/2014/main" id="{00000000-0008-0000-0000-00005B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52" name="Group Box 2140" hidden="1">
              <a:extLst>
                <a:ext uri="{63B3BB69-23CF-44E3-9099-C40C66FF867C}">
                  <a14:compatExt spid="_x0000_s15452"/>
                </a:ext>
                <a:ext uri="{FF2B5EF4-FFF2-40B4-BE49-F238E27FC236}">
                  <a16:creationId xmlns:a16="http://schemas.microsoft.com/office/drawing/2014/main" id="{00000000-0008-0000-0000-00005C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53" name="Group Box 2141" hidden="1">
              <a:extLst>
                <a:ext uri="{63B3BB69-23CF-44E3-9099-C40C66FF867C}">
                  <a14:compatExt spid="_x0000_s15453"/>
                </a:ext>
                <a:ext uri="{FF2B5EF4-FFF2-40B4-BE49-F238E27FC236}">
                  <a16:creationId xmlns:a16="http://schemas.microsoft.com/office/drawing/2014/main" id="{00000000-0008-0000-0000-00005D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54" name="Group Box 2142" hidden="1">
              <a:extLst>
                <a:ext uri="{63B3BB69-23CF-44E3-9099-C40C66FF867C}">
                  <a14:compatExt spid="_x0000_s15454"/>
                </a:ext>
                <a:ext uri="{FF2B5EF4-FFF2-40B4-BE49-F238E27FC236}">
                  <a16:creationId xmlns:a16="http://schemas.microsoft.com/office/drawing/2014/main" id="{00000000-0008-0000-0000-00005E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55" name="Group Box 2143" hidden="1">
              <a:extLst>
                <a:ext uri="{63B3BB69-23CF-44E3-9099-C40C66FF867C}">
                  <a14:compatExt spid="_x0000_s15455"/>
                </a:ext>
                <a:ext uri="{FF2B5EF4-FFF2-40B4-BE49-F238E27FC236}">
                  <a16:creationId xmlns:a16="http://schemas.microsoft.com/office/drawing/2014/main" id="{00000000-0008-0000-0000-00005F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56" name="Group Box 2144" hidden="1">
              <a:extLst>
                <a:ext uri="{63B3BB69-23CF-44E3-9099-C40C66FF867C}">
                  <a14:compatExt spid="_x0000_s15456"/>
                </a:ext>
                <a:ext uri="{FF2B5EF4-FFF2-40B4-BE49-F238E27FC236}">
                  <a16:creationId xmlns:a16="http://schemas.microsoft.com/office/drawing/2014/main" id="{00000000-0008-0000-0000-000060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5457" name="Group Box 2145" hidden="1">
              <a:extLst>
                <a:ext uri="{63B3BB69-23CF-44E3-9099-C40C66FF867C}">
                  <a14:compatExt spid="_x0000_s15457"/>
                </a:ext>
                <a:ext uri="{FF2B5EF4-FFF2-40B4-BE49-F238E27FC236}">
                  <a16:creationId xmlns:a16="http://schemas.microsoft.com/office/drawing/2014/main" id="{00000000-0008-0000-0000-000061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58" name="Group Box 2146" hidden="1">
              <a:extLst>
                <a:ext uri="{63B3BB69-23CF-44E3-9099-C40C66FF867C}">
                  <a14:compatExt spid="_x0000_s15458"/>
                </a:ext>
                <a:ext uri="{FF2B5EF4-FFF2-40B4-BE49-F238E27FC236}">
                  <a16:creationId xmlns:a16="http://schemas.microsoft.com/office/drawing/2014/main" id="{00000000-0008-0000-0000-000062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59" name="Group Box 2147" hidden="1">
              <a:extLst>
                <a:ext uri="{63B3BB69-23CF-44E3-9099-C40C66FF867C}">
                  <a14:compatExt spid="_x0000_s15459"/>
                </a:ext>
                <a:ext uri="{FF2B5EF4-FFF2-40B4-BE49-F238E27FC236}">
                  <a16:creationId xmlns:a16="http://schemas.microsoft.com/office/drawing/2014/main" id="{00000000-0008-0000-0000-000063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60" name="Group Box 2148" hidden="1">
              <a:extLst>
                <a:ext uri="{63B3BB69-23CF-44E3-9099-C40C66FF867C}">
                  <a14:compatExt spid="_x0000_s15460"/>
                </a:ext>
                <a:ext uri="{FF2B5EF4-FFF2-40B4-BE49-F238E27FC236}">
                  <a16:creationId xmlns:a16="http://schemas.microsoft.com/office/drawing/2014/main" id="{00000000-0008-0000-0000-000064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61" name="Group Box 2149" hidden="1">
              <a:extLst>
                <a:ext uri="{63B3BB69-23CF-44E3-9099-C40C66FF867C}">
                  <a14:compatExt spid="_x0000_s15461"/>
                </a:ext>
                <a:ext uri="{FF2B5EF4-FFF2-40B4-BE49-F238E27FC236}">
                  <a16:creationId xmlns:a16="http://schemas.microsoft.com/office/drawing/2014/main" id="{00000000-0008-0000-0000-000065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62" name="Group Box 2150" hidden="1">
              <a:extLst>
                <a:ext uri="{63B3BB69-23CF-44E3-9099-C40C66FF867C}">
                  <a14:compatExt spid="_x0000_s15462"/>
                </a:ext>
                <a:ext uri="{FF2B5EF4-FFF2-40B4-BE49-F238E27FC236}">
                  <a16:creationId xmlns:a16="http://schemas.microsoft.com/office/drawing/2014/main" id="{00000000-0008-0000-0000-000066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63" name="Group Box 2151" hidden="1">
              <a:extLst>
                <a:ext uri="{63B3BB69-23CF-44E3-9099-C40C66FF867C}">
                  <a14:compatExt spid="_x0000_s15463"/>
                </a:ext>
                <a:ext uri="{FF2B5EF4-FFF2-40B4-BE49-F238E27FC236}">
                  <a16:creationId xmlns:a16="http://schemas.microsoft.com/office/drawing/2014/main" id="{00000000-0008-0000-0000-00006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64" name="Group Box 2152" hidden="1">
              <a:extLst>
                <a:ext uri="{63B3BB69-23CF-44E3-9099-C40C66FF867C}">
                  <a14:compatExt spid="_x0000_s15464"/>
                </a:ext>
                <a:ext uri="{FF2B5EF4-FFF2-40B4-BE49-F238E27FC236}">
                  <a16:creationId xmlns:a16="http://schemas.microsoft.com/office/drawing/2014/main" id="{00000000-0008-0000-0000-000068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65" name="Group Box 2153" hidden="1">
              <a:extLst>
                <a:ext uri="{63B3BB69-23CF-44E3-9099-C40C66FF867C}">
                  <a14:compatExt spid="_x0000_s15465"/>
                </a:ext>
                <a:ext uri="{FF2B5EF4-FFF2-40B4-BE49-F238E27FC236}">
                  <a16:creationId xmlns:a16="http://schemas.microsoft.com/office/drawing/2014/main" id="{00000000-0008-0000-0000-000069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66" name="Group Box 2154" hidden="1">
              <a:extLst>
                <a:ext uri="{63B3BB69-23CF-44E3-9099-C40C66FF867C}">
                  <a14:compatExt spid="_x0000_s15466"/>
                </a:ext>
                <a:ext uri="{FF2B5EF4-FFF2-40B4-BE49-F238E27FC236}">
                  <a16:creationId xmlns:a16="http://schemas.microsoft.com/office/drawing/2014/main" id="{00000000-0008-0000-0000-00006A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67" name="Group Box 2155" hidden="1">
              <a:extLst>
                <a:ext uri="{63B3BB69-23CF-44E3-9099-C40C66FF867C}">
                  <a14:compatExt spid="_x0000_s15467"/>
                </a:ext>
                <a:ext uri="{FF2B5EF4-FFF2-40B4-BE49-F238E27FC236}">
                  <a16:creationId xmlns:a16="http://schemas.microsoft.com/office/drawing/2014/main" id="{00000000-0008-0000-0000-00006B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68" name="Group Box 2156" hidden="1">
              <a:extLst>
                <a:ext uri="{63B3BB69-23CF-44E3-9099-C40C66FF867C}">
                  <a14:compatExt spid="_x0000_s15468"/>
                </a:ext>
                <a:ext uri="{FF2B5EF4-FFF2-40B4-BE49-F238E27FC236}">
                  <a16:creationId xmlns:a16="http://schemas.microsoft.com/office/drawing/2014/main" id="{00000000-0008-0000-0000-00006C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69" name="Group Box 2157" hidden="1">
              <a:extLst>
                <a:ext uri="{63B3BB69-23CF-44E3-9099-C40C66FF867C}">
                  <a14:compatExt spid="_x0000_s15469"/>
                </a:ext>
                <a:ext uri="{FF2B5EF4-FFF2-40B4-BE49-F238E27FC236}">
                  <a16:creationId xmlns:a16="http://schemas.microsoft.com/office/drawing/2014/main" id="{00000000-0008-0000-0000-00006D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70" name="Group Box 2158" hidden="1">
              <a:extLst>
                <a:ext uri="{63B3BB69-23CF-44E3-9099-C40C66FF867C}">
                  <a14:compatExt spid="_x0000_s15470"/>
                </a:ext>
                <a:ext uri="{FF2B5EF4-FFF2-40B4-BE49-F238E27FC236}">
                  <a16:creationId xmlns:a16="http://schemas.microsoft.com/office/drawing/2014/main" id="{00000000-0008-0000-0000-00006E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71" name="Group Box 2159" hidden="1">
              <a:extLst>
                <a:ext uri="{63B3BB69-23CF-44E3-9099-C40C66FF867C}">
                  <a14:compatExt spid="_x0000_s15471"/>
                </a:ext>
                <a:ext uri="{FF2B5EF4-FFF2-40B4-BE49-F238E27FC236}">
                  <a16:creationId xmlns:a16="http://schemas.microsoft.com/office/drawing/2014/main" id="{00000000-0008-0000-0000-00006F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72" name="Group Box 2160" hidden="1">
              <a:extLst>
                <a:ext uri="{63B3BB69-23CF-44E3-9099-C40C66FF867C}">
                  <a14:compatExt spid="_x0000_s15472"/>
                </a:ext>
                <a:ext uri="{FF2B5EF4-FFF2-40B4-BE49-F238E27FC236}">
                  <a16:creationId xmlns:a16="http://schemas.microsoft.com/office/drawing/2014/main" id="{00000000-0008-0000-0000-000070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73" name="Group Box 2161" hidden="1">
              <a:extLst>
                <a:ext uri="{63B3BB69-23CF-44E3-9099-C40C66FF867C}">
                  <a14:compatExt spid="_x0000_s15473"/>
                </a:ext>
                <a:ext uri="{FF2B5EF4-FFF2-40B4-BE49-F238E27FC236}">
                  <a16:creationId xmlns:a16="http://schemas.microsoft.com/office/drawing/2014/main" id="{00000000-0008-0000-0000-000071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74" name="Group Box 2162" hidden="1">
              <a:extLst>
                <a:ext uri="{63B3BB69-23CF-44E3-9099-C40C66FF867C}">
                  <a14:compatExt spid="_x0000_s15474"/>
                </a:ext>
                <a:ext uri="{FF2B5EF4-FFF2-40B4-BE49-F238E27FC236}">
                  <a16:creationId xmlns:a16="http://schemas.microsoft.com/office/drawing/2014/main" id="{00000000-0008-0000-0000-000072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75" name="Group Box 2163" hidden="1">
              <a:extLst>
                <a:ext uri="{63B3BB69-23CF-44E3-9099-C40C66FF867C}">
                  <a14:compatExt spid="_x0000_s15475"/>
                </a:ext>
                <a:ext uri="{FF2B5EF4-FFF2-40B4-BE49-F238E27FC236}">
                  <a16:creationId xmlns:a16="http://schemas.microsoft.com/office/drawing/2014/main" id="{00000000-0008-0000-0000-000073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76" name="Group Box 2164" hidden="1">
              <a:extLst>
                <a:ext uri="{63B3BB69-23CF-44E3-9099-C40C66FF867C}">
                  <a14:compatExt spid="_x0000_s15476"/>
                </a:ext>
                <a:ext uri="{FF2B5EF4-FFF2-40B4-BE49-F238E27FC236}">
                  <a16:creationId xmlns:a16="http://schemas.microsoft.com/office/drawing/2014/main" id="{00000000-0008-0000-0000-000074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77" name="Group Box 2165" hidden="1">
              <a:extLst>
                <a:ext uri="{63B3BB69-23CF-44E3-9099-C40C66FF867C}">
                  <a14:compatExt spid="_x0000_s15477"/>
                </a:ext>
                <a:ext uri="{FF2B5EF4-FFF2-40B4-BE49-F238E27FC236}">
                  <a16:creationId xmlns:a16="http://schemas.microsoft.com/office/drawing/2014/main" id="{00000000-0008-0000-0000-000075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78" name="Group Box 2166" hidden="1">
              <a:extLst>
                <a:ext uri="{63B3BB69-23CF-44E3-9099-C40C66FF867C}">
                  <a14:compatExt spid="_x0000_s15478"/>
                </a:ext>
                <a:ext uri="{FF2B5EF4-FFF2-40B4-BE49-F238E27FC236}">
                  <a16:creationId xmlns:a16="http://schemas.microsoft.com/office/drawing/2014/main" id="{00000000-0008-0000-0000-000076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79" name="Group Box 2167" hidden="1">
              <a:extLst>
                <a:ext uri="{63B3BB69-23CF-44E3-9099-C40C66FF867C}">
                  <a14:compatExt spid="_x0000_s15479"/>
                </a:ext>
                <a:ext uri="{FF2B5EF4-FFF2-40B4-BE49-F238E27FC236}">
                  <a16:creationId xmlns:a16="http://schemas.microsoft.com/office/drawing/2014/main" id="{00000000-0008-0000-0000-00007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80" name="Group Box 2168" hidden="1">
              <a:extLst>
                <a:ext uri="{63B3BB69-23CF-44E3-9099-C40C66FF867C}">
                  <a14:compatExt spid="_x0000_s15480"/>
                </a:ext>
                <a:ext uri="{FF2B5EF4-FFF2-40B4-BE49-F238E27FC236}">
                  <a16:creationId xmlns:a16="http://schemas.microsoft.com/office/drawing/2014/main" id="{00000000-0008-0000-0000-000078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81" name="Group Box 2169" hidden="1">
              <a:extLst>
                <a:ext uri="{63B3BB69-23CF-44E3-9099-C40C66FF867C}">
                  <a14:compatExt spid="_x0000_s15481"/>
                </a:ext>
                <a:ext uri="{FF2B5EF4-FFF2-40B4-BE49-F238E27FC236}">
                  <a16:creationId xmlns:a16="http://schemas.microsoft.com/office/drawing/2014/main" id="{00000000-0008-0000-0000-000079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82" name="Group Box 2170" hidden="1">
              <a:extLst>
                <a:ext uri="{63B3BB69-23CF-44E3-9099-C40C66FF867C}">
                  <a14:compatExt spid="_x0000_s15482"/>
                </a:ext>
                <a:ext uri="{FF2B5EF4-FFF2-40B4-BE49-F238E27FC236}">
                  <a16:creationId xmlns:a16="http://schemas.microsoft.com/office/drawing/2014/main" id="{00000000-0008-0000-0000-00007A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83" name="Group Box 2171" hidden="1">
              <a:extLst>
                <a:ext uri="{63B3BB69-23CF-44E3-9099-C40C66FF867C}">
                  <a14:compatExt spid="_x0000_s15483"/>
                </a:ext>
                <a:ext uri="{FF2B5EF4-FFF2-40B4-BE49-F238E27FC236}">
                  <a16:creationId xmlns:a16="http://schemas.microsoft.com/office/drawing/2014/main" id="{00000000-0008-0000-0000-00007B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84" name="Group Box 2172" hidden="1">
              <a:extLst>
                <a:ext uri="{63B3BB69-23CF-44E3-9099-C40C66FF867C}">
                  <a14:compatExt spid="_x0000_s15484"/>
                </a:ext>
                <a:ext uri="{FF2B5EF4-FFF2-40B4-BE49-F238E27FC236}">
                  <a16:creationId xmlns:a16="http://schemas.microsoft.com/office/drawing/2014/main" id="{00000000-0008-0000-0000-00007C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85" name="Group Box 2173" hidden="1">
              <a:extLst>
                <a:ext uri="{63B3BB69-23CF-44E3-9099-C40C66FF867C}">
                  <a14:compatExt spid="_x0000_s15485"/>
                </a:ext>
                <a:ext uri="{FF2B5EF4-FFF2-40B4-BE49-F238E27FC236}">
                  <a16:creationId xmlns:a16="http://schemas.microsoft.com/office/drawing/2014/main" id="{00000000-0008-0000-0000-00007D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86" name="Group Box 2174" hidden="1">
              <a:extLst>
                <a:ext uri="{63B3BB69-23CF-44E3-9099-C40C66FF867C}">
                  <a14:compatExt spid="_x0000_s15486"/>
                </a:ext>
                <a:ext uri="{FF2B5EF4-FFF2-40B4-BE49-F238E27FC236}">
                  <a16:creationId xmlns:a16="http://schemas.microsoft.com/office/drawing/2014/main" id="{00000000-0008-0000-0000-00007E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87" name="Group Box 2175" hidden="1">
              <a:extLst>
                <a:ext uri="{63B3BB69-23CF-44E3-9099-C40C66FF867C}">
                  <a14:compatExt spid="_x0000_s15487"/>
                </a:ext>
                <a:ext uri="{FF2B5EF4-FFF2-40B4-BE49-F238E27FC236}">
                  <a16:creationId xmlns:a16="http://schemas.microsoft.com/office/drawing/2014/main" id="{00000000-0008-0000-0000-00007F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88" name="Group Box 2176" hidden="1">
              <a:extLst>
                <a:ext uri="{63B3BB69-23CF-44E3-9099-C40C66FF867C}">
                  <a14:compatExt spid="_x0000_s15488"/>
                </a:ext>
                <a:ext uri="{FF2B5EF4-FFF2-40B4-BE49-F238E27FC236}">
                  <a16:creationId xmlns:a16="http://schemas.microsoft.com/office/drawing/2014/main" id="{00000000-0008-0000-0000-000080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89" name="Group Box 2177" hidden="1">
              <a:extLst>
                <a:ext uri="{63B3BB69-23CF-44E3-9099-C40C66FF867C}">
                  <a14:compatExt spid="_x0000_s15489"/>
                </a:ext>
                <a:ext uri="{FF2B5EF4-FFF2-40B4-BE49-F238E27FC236}">
                  <a16:creationId xmlns:a16="http://schemas.microsoft.com/office/drawing/2014/main" id="{00000000-0008-0000-0000-000081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90" name="Group Box 2178" hidden="1">
              <a:extLst>
                <a:ext uri="{63B3BB69-23CF-44E3-9099-C40C66FF867C}">
                  <a14:compatExt spid="_x0000_s15490"/>
                </a:ext>
                <a:ext uri="{FF2B5EF4-FFF2-40B4-BE49-F238E27FC236}">
                  <a16:creationId xmlns:a16="http://schemas.microsoft.com/office/drawing/2014/main" id="{00000000-0008-0000-0000-000082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91" name="Group Box 2179" hidden="1">
              <a:extLst>
                <a:ext uri="{63B3BB69-23CF-44E3-9099-C40C66FF867C}">
                  <a14:compatExt spid="_x0000_s15491"/>
                </a:ext>
                <a:ext uri="{FF2B5EF4-FFF2-40B4-BE49-F238E27FC236}">
                  <a16:creationId xmlns:a16="http://schemas.microsoft.com/office/drawing/2014/main" id="{00000000-0008-0000-0000-000083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92" name="Group Box 2180" hidden="1">
              <a:extLst>
                <a:ext uri="{63B3BB69-23CF-44E3-9099-C40C66FF867C}">
                  <a14:compatExt spid="_x0000_s15492"/>
                </a:ext>
                <a:ext uri="{FF2B5EF4-FFF2-40B4-BE49-F238E27FC236}">
                  <a16:creationId xmlns:a16="http://schemas.microsoft.com/office/drawing/2014/main" id="{00000000-0008-0000-0000-000084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93" name="Group Box 2181" hidden="1">
              <a:extLst>
                <a:ext uri="{63B3BB69-23CF-44E3-9099-C40C66FF867C}">
                  <a14:compatExt spid="_x0000_s15493"/>
                </a:ext>
                <a:ext uri="{FF2B5EF4-FFF2-40B4-BE49-F238E27FC236}">
                  <a16:creationId xmlns:a16="http://schemas.microsoft.com/office/drawing/2014/main" id="{00000000-0008-0000-0000-000085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94" name="Group Box 2182" hidden="1">
              <a:extLst>
                <a:ext uri="{63B3BB69-23CF-44E3-9099-C40C66FF867C}">
                  <a14:compatExt spid="_x0000_s15494"/>
                </a:ext>
                <a:ext uri="{FF2B5EF4-FFF2-40B4-BE49-F238E27FC236}">
                  <a16:creationId xmlns:a16="http://schemas.microsoft.com/office/drawing/2014/main" id="{00000000-0008-0000-0000-000086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95" name="Group Box 2183" hidden="1">
              <a:extLst>
                <a:ext uri="{63B3BB69-23CF-44E3-9099-C40C66FF867C}">
                  <a14:compatExt spid="_x0000_s15495"/>
                </a:ext>
                <a:ext uri="{FF2B5EF4-FFF2-40B4-BE49-F238E27FC236}">
                  <a16:creationId xmlns:a16="http://schemas.microsoft.com/office/drawing/2014/main" id="{00000000-0008-0000-0000-00008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96" name="Group Box 2184" hidden="1">
              <a:extLst>
                <a:ext uri="{63B3BB69-23CF-44E3-9099-C40C66FF867C}">
                  <a14:compatExt spid="_x0000_s15496"/>
                </a:ext>
                <a:ext uri="{FF2B5EF4-FFF2-40B4-BE49-F238E27FC236}">
                  <a16:creationId xmlns:a16="http://schemas.microsoft.com/office/drawing/2014/main" id="{00000000-0008-0000-0000-000088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97" name="Group Box 2185" hidden="1">
              <a:extLst>
                <a:ext uri="{63B3BB69-23CF-44E3-9099-C40C66FF867C}">
                  <a14:compatExt spid="_x0000_s15497"/>
                </a:ext>
                <a:ext uri="{FF2B5EF4-FFF2-40B4-BE49-F238E27FC236}">
                  <a16:creationId xmlns:a16="http://schemas.microsoft.com/office/drawing/2014/main" id="{00000000-0008-0000-0000-000089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98" name="Group Box 2186" hidden="1">
              <a:extLst>
                <a:ext uri="{63B3BB69-23CF-44E3-9099-C40C66FF867C}">
                  <a14:compatExt spid="_x0000_s15498"/>
                </a:ext>
                <a:ext uri="{FF2B5EF4-FFF2-40B4-BE49-F238E27FC236}">
                  <a16:creationId xmlns:a16="http://schemas.microsoft.com/office/drawing/2014/main" id="{00000000-0008-0000-0000-00008A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499" name="Group Box 2187" hidden="1">
              <a:extLst>
                <a:ext uri="{63B3BB69-23CF-44E3-9099-C40C66FF867C}">
                  <a14:compatExt spid="_x0000_s15499"/>
                </a:ext>
                <a:ext uri="{FF2B5EF4-FFF2-40B4-BE49-F238E27FC236}">
                  <a16:creationId xmlns:a16="http://schemas.microsoft.com/office/drawing/2014/main" id="{00000000-0008-0000-0000-00008B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00" name="Group Box 2188" hidden="1">
              <a:extLst>
                <a:ext uri="{63B3BB69-23CF-44E3-9099-C40C66FF867C}">
                  <a14:compatExt spid="_x0000_s15500"/>
                </a:ext>
                <a:ext uri="{FF2B5EF4-FFF2-40B4-BE49-F238E27FC236}">
                  <a16:creationId xmlns:a16="http://schemas.microsoft.com/office/drawing/2014/main" id="{00000000-0008-0000-0000-00008C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01" name="Group Box 2189" hidden="1">
              <a:extLst>
                <a:ext uri="{63B3BB69-23CF-44E3-9099-C40C66FF867C}">
                  <a14:compatExt spid="_x0000_s15501"/>
                </a:ext>
                <a:ext uri="{FF2B5EF4-FFF2-40B4-BE49-F238E27FC236}">
                  <a16:creationId xmlns:a16="http://schemas.microsoft.com/office/drawing/2014/main" id="{00000000-0008-0000-0000-00008D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02" name="Group Box 2190" hidden="1">
              <a:extLst>
                <a:ext uri="{63B3BB69-23CF-44E3-9099-C40C66FF867C}">
                  <a14:compatExt spid="_x0000_s15502"/>
                </a:ext>
                <a:ext uri="{FF2B5EF4-FFF2-40B4-BE49-F238E27FC236}">
                  <a16:creationId xmlns:a16="http://schemas.microsoft.com/office/drawing/2014/main" id="{00000000-0008-0000-0000-00008E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03" name="Group Box 2191" hidden="1">
              <a:extLst>
                <a:ext uri="{63B3BB69-23CF-44E3-9099-C40C66FF867C}">
                  <a14:compatExt spid="_x0000_s15503"/>
                </a:ext>
                <a:ext uri="{FF2B5EF4-FFF2-40B4-BE49-F238E27FC236}">
                  <a16:creationId xmlns:a16="http://schemas.microsoft.com/office/drawing/2014/main" id="{00000000-0008-0000-0000-00008F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04" name="Group Box 2192" hidden="1">
              <a:extLst>
                <a:ext uri="{63B3BB69-23CF-44E3-9099-C40C66FF867C}">
                  <a14:compatExt spid="_x0000_s15504"/>
                </a:ext>
                <a:ext uri="{FF2B5EF4-FFF2-40B4-BE49-F238E27FC236}">
                  <a16:creationId xmlns:a16="http://schemas.microsoft.com/office/drawing/2014/main" id="{00000000-0008-0000-0000-000090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05" name="Group Box 2193" hidden="1">
              <a:extLst>
                <a:ext uri="{63B3BB69-23CF-44E3-9099-C40C66FF867C}">
                  <a14:compatExt spid="_x0000_s15505"/>
                </a:ext>
                <a:ext uri="{FF2B5EF4-FFF2-40B4-BE49-F238E27FC236}">
                  <a16:creationId xmlns:a16="http://schemas.microsoft.com/office/drawing/2014/main" id="{00000000-0008-0000-0000-000091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06" name="Group Box 2194" hidden="1">
              <a:extLst>
                <a:ext uri="{63B3BB69-23CF-44E3-9099-C40C66FF867C}">
                  <a14:compatExt spid="_x0000_s15506"/>
                </a:ext>
                <a:ext uri="{FF2B5EF4-FFF2-40B4-BE49-F238E27FC236}">
                  <a16:creationId xmlns:a16="http://schemas.microsoft.com/office/drawing/2014/main" id="{00000000-0008-0000-0000-000092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07" name="Group Box 2195" hidden="1">
              <a:extLst>
                <a:ext uri="{63B3BB69-23CF-44E3-9099-C40C66FF867C}">
                  <a14:compatExt spid="_x0000_s15507"/>
                </a:ext>
                <a:ext uri="{FF2B5EF4-FFF2-40B4-BE49-F238E27FC236}">
                  <a16:creationId xmlns:a16="http://schemas.microsoft.com/office/drawing/2014/main" id="{00000000-0008-0000-0000-000093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08" name="Group Box 2196" hidden="1">
              <a:extLst>
                <a:ext uri="{63B3BB69-23CF-44E3-9099-C40C66FF867C}">
                  <a14:compatExt spid="_x0000_s15508"/>
                </a:ext>
                <a:ext uri="{FF2B5EF4-FFF2-40B4-BE49-F238E27FC236}">
                  <a16:creationId xmlns:a16="http://schemas.microsoft.com/office/drawing/2014/main" id="{00000000-0008-0000-0000-000094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09" name="Group Box 2197" hidden="1">
              <a:extLst>
                <a:ext uri="{63B3BB69-23CF-44E3-9099-C40C66FF867C}">
                  <a14:compatExt spid="_x0000_s15509"/>
                </a:ext>
                <a:ext uri="{FF2B5EF4-FFF2-40B4-BE49-F238E27FC236}">
                  <a16:creationId xmlns:a16="http://schemas.microsoft.com/office/drawing/2014/main" id="{00000000-0008-0000-0000-000095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10" name="Group Box 2198" hidden="1">
              <a:extLst>
                <a:ext uri="{63B3BB69-23CF-44E3-9099-C40C66FF867C}">
                  <a14:compatExt spid="_x0000_s15510"/>
                </a:ext>
                <a:ext uri="{FF2B5EF4-FFF2-40B4-BE49-F238E27FC236}">
                  <a16:creationId xmlns:a16="http://schemas.microsoft.com/office/drawing/2014/main" id="{00000000-0008-0000-0000-000096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11" name="Group Box 2199" hidden="1">
              <a:extLst>
                <a:ext uri="{63B3BB69-23CF-44E3-9099-C40C66FF867C}">
                  <a14:compatExt spid="_x0000_s15511"/>
                </a:ext>
                <a:ext uri="{FF2B5EF4-FFF2-40B4-BE49-F238E27FC236}">
                  <a16:creationId xmlns:a16="http://schemas.microsoft.com/office/drawing/2014/main" id="{00000000-0008-0000-0000-00009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12" name="Group Box 2200" hidden="1">
              <a:extLst>
                <a:ext uri="{63B3BB69-23CF-44E3-9099-C40C66FF867C}">
                  <a14:compatExt spid="_x0000_s15512"/>
                </a:ext>
                <a:ext uri="{FF2B5EF4-FFF2-40B4-BE49-F238E27FC236}">
                  <a16:creationId xmlns:a16="http://schemas.microsoft.com/office/drawing/2014/main" id="{00000000-0008-0000-0000-000098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13" name="Group Box 2201" hidden="1">
              <a:extLst>
                <a:ext uri="{63B3BB69-23CF-44E3-9099-C40C66FF867C}">
                  <a14:compatExt spid="_x0000_s15513"/>
                </a:ext>
                <a:ext uri="{FF2B5EF4-FFF2-40B4-BE49-F238E27FC236}">
                  <a16:creationId xmlns:a16="http://schemas.microsoft.com/office/drawing/2014/main" id="{00000000-0008-0000-0000-000099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14" name="Group Box 2202" hidden="1">
              <a:extLst>
                <a:ext uri="{63B3BB69-23CF-44E3-9099-C40C66FF867C}">
                  <a14:compatExt spid="_x0000_s15514"/>
                </a:ext>
                <a:ext uri="{FF2B5EF4-FFF2-40B4-BE49-F238E27FC236}">
                  <a16:creationId xmlns:a16="http://schemas.microsoft.com/office/drawing/2014/main" id="{00000000-0008-0000-0000-00009A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15" name="Group Box 2203" hidden="1">
              <a:extLst>
                <a:ext uri="{63B3BB69-23CF-44E3-9099-C40C66FF867C}">
                  <a14:compatExt spid="_x0000_s15515"/>
                </a:ext>
                <a:ext uri="{FF2B5EF4-FFF2-40B4-BE49-F238E27FC236}">
                  <a16:creationId xmlns:a16="http://schemas.microsoft.com/office/drawing/2014/main" id="{00000000-0008-0000-0000-00009B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16" name="Group Box 2204" hidden="1">
              <a:extLst>
                <a:ext uri="{63B3BB69-23CF-44E3-9099-C40C66FF867C}">
                  <a14:compatExt spid="_x0000_s15516"/>
                </a:ext>
                <a:ext uri="{FF2B5EF4-FFF2-40B4-BE49-F238E27FC236}">
                  <a16:creationId xmlns:a16="http://schemas.microsoft.com/office/drawing/2014/main" id="{00000000-0008-0000-0000-00009C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145</xdr:row>
          <xdr:rowOff>0</xdr:rowOff>
        </xdr:to>
        <xdr:sp macro="" textlink="">
          <xdr:nvSpPr>
            <xdr:cNvPr id="15517" name="Group Box 2205" hidden="1">
              <a:extLst>
                <a:ext uri="{63B3BB69-23CF-44E3-9099-C40C66FF867C}">
                  <a14:compatExt spid="_x0000_s15517"/>
                </a:ext>
                <a:ext uri="{FF2B5EF4-FFF2-40B4-BE49-F238E27FC236}">
                  <a16:creationId xmlns:a16="http://schemas.microsoft.com/office/drawing/2014/main" id="{00000000-0008-0000-0000-00009D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18" name="Group Box 2206" hidden="1">
              <a:extLst>
                <a:ext uri="{63B3BB69-23CF-44E3-9099-C40C66FF867C}">
                  <a14:compatExt spid="_x0000_s15518"/>
                </a:ext>
                <a:ext uri="{FF2B5EF4-FFF2-40B4-BE49-F238E27FC236}">
                  <a16:creationId xmlns:a16="http://schemas.microsoft.com/office/drawing/2014/main" id="{00000000-0008-0000-0000-00009E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19" name="Group Box 2207" hidden="1">
              <a:extLst>
                <a:ext uri="{63B3BB69-23CF-44E3-9099-C40C66FF867C}">
                  <a14:compatExt spid="_x0000_s15519"/>
                </a:ext>
                <a:ext uri="{FF2B5EF4-FFF2-40B4-BE49-F238E27FC236}">
                  <a16:creationId xmlns:a16="http://schemas.microsoft.com/office/drawing/2014/main" id="{00000000-0008-0000-0000-00009F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20" name="Group Box 2208" hidden="1">
              <a:extLst>
                <a:ext uri="{63B3BB69-23CF-44E3-9099-C40C66FF867C}">
                  <a14:compatExt spid="_x0000_s15520"/>
                </a:ext>
                <a:ext uri="{FF2B5EF4-FFF2-40B4-BE49-F238E27FC236}">
                  <a16:creationId xmlns:a16="http://schemas.microsoft.com/office/drawing/2014/main" id="{00000000-0008-0000-0000-0000A0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21" name="Group Box 2209" hidden="1">
              <a:extLst>
                <a:ext uri="{63B3BB69-23CF-44E3-9099-C40C66FF867C}">
                  <a14:compatExt spid="_x0000_s15521"/>
                </a:ext>
                <a:ext uri="{FF2B5EF4-FFF2-40B4-BE49-F238E27FC236}">
                  <a16:creationId xmlns:a16="http://schemas.microsoft.com/office/drawing/2014/main" id="{00000000-0008-0000-0000-0000A1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22" name="Group Box 2210" hidden="1">
              <a:extLst>
                <a:ext uri="{63B3BB69-23CF-44E3-9099-C40C66FF867C}">
                  <a14:compatExt spid="_x0000_s15522"/>
                </a:ext>
                <a:ext uri="{FF2B5EF4-FFF2-40B4-BE49-F238E27FC236}">
                  <a16:creationId xmlns:a16="http://schemas.microsoft.com/office/drawing/2014/main" id="{00000000-0008-0000-0000-0000A2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23" name="Group Box 2211" hidden="1">
              <a:extLst>
                <a:ext uri="{63B3BB69-23CF-44E3-9099-C40C66FF867C}">
                  <a14:compatExt spid="_x0000_s15523"/>
                </a:ext>
                <a:ext uri="{FF2B5EF4-FFF2-40B4-BE49-F238E27FC236}">
                  <a16:creationId xmlns:a16="http://schemas.microsoft.com/office/drawing/2014/main" id="{00000000-0008-0000-0000-0000A3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24" name="Group Box 2212" hidden="1">
              <a:extLst>
                <a:ext uri="{63B3BB69-23CF-44E3-9099-C40C66FF867C}">
                  <a14:compatExt spid="_x0000_s15524"/>
                </a:ext>
                <a:ext uri="{FF2B5EF4-FFF2-40B4-BE49-F238E27FC236}">
                  <a16:creationId xmlns:a16="http://schemas.microsoft.com/office/drawing/2014/main" id="{00000000-0008-0000-0000-0000A4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25" name="Group Box 2213" hidden="1">
              <a:extLst>
                <a:ext uri="{63B3BB69-23CF-44E3-9099-C40C66FF867C}">
                  <a14:compatExt spid="_x0000_s15525"/>
                </a:ext>
                <a:ext uri="{FF2B5EF4-FFF2-40B4-BE49-F238E27FC236}">
                  <a16:creationId xmlns:a16="http://schemas.microsoft.com/office/drawing/2014/main" id="{00000000-0008-0000-0000-0000A5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26" name="Group Box 2214" hidden="1">
              <a:extLst>
                <a:ext uri="{63B3BB69-23CF-44E3-9099-C40C66FF867C}">
                  <a14:compatExt spid="_x0000_s15526"/>
                </a:ext>
                <a:ext uri="{FF2B5EF4-FFF2-40B4-BE49-F238E27FC236}">
                  <a16:creationId xmlns:a16="http://schemas.microsoft.com/office/drawing/2014/main" id="{00000000-0008-0000-0000-0000A6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27" name="Group Box 2215" hidden="1">
              <a:extLst>
                <a:ext uri="{63B3BB69-23CF-44E3-9099-C40C66FF867C}">
                  <a14:compatExt spid="_x0000_s15527"/>
                </a:ext>
                <a:ext uri="{FF2B5EF4-FFF2-40B4-BE49-F238E27FC236}">
                  <a16:creationId xmlns:a16="http://schemas.microsoft.com/office/drawing/2014/main" id="{00000000-0008-0000-0000-0000A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28" name="Group Box 2216" hidden="1">
              <a:extLst>
                <a:ext uri="{63B3BB69-23CF-44E3-9099-C40C66FF867C}">
                  <a14:compatExt spid="_x0000_s15528"/>
                </a:ext>
                <a:ext uri="{FF2B5EF4-FFF2-40B4-BE49-F238E27FC236}">
                  <a16:creationId xmlns:a16="http://schemas.microsoft.com/office/drawing/2014/main" id="{00000000-0008-0000-0000-0000A8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29" name="Group Box 2217" hidden="1">
              <a:extLst>
                <a:ext uri="{63B3BB69-23CF-44E3-9099-C40C66FF867C}">
                  <a14:compatExt spid="_x0000_s15529"/>
                </a:ext>
                <a:ext uri="{FF2B5EF4-FFF2-40B4-BE49-F238E27FC236}">
                  <a16:creationId xmlns:a16="http://schemas.microsoft.com/office/drawing/2014/main" id="{00000000-0008-0000-0000-0000A9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30" name="Group Box 2218" hidden="1">
              <a:extLst>
                <a:ext uri="{63B3BB69-23CF-44E3-9099-C40C66FF867C}">
                  <a14:compatExt spid="_x0000_s15530"/>
                </a:ext>
                <a:ext uri="{FF2B5EF4-FFF2-40B4-BE49-F238E27FC236}">
                  <a16:creationId xmlns:a16="http://schemas.microsoft.com/office/drawing/2014/main" id="{00000000-0008-0000-0000-0000AA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31" name="Group Box 2219" hidden="1">
              <a:extLst>
                <a:ext uri="{63B3BB69-23CF-44E3-9099-C40C66FF867C}">
                  <a14:compatExt spid="_x0000_s15531"/>
                </a:ext>
                <a:ext uri="{FF2B5EF4-FFF2-40B4-BE49-F238E27FC236}">
                  <a16:creationId xmlns:a16="http://schemas.microsoft.com/office/drawing/2014/main" id="{00000000-0008-0000-0000-0000AB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32" name="Group Box 2220" hidden="1">
              <a:extLst>
                <a:ext uri="{63B3BB69-23CF-44E3-9099-C40C66FF867C}">
                  <a14:compatExt spid="_x0000_s15532"/>
                </a:ext>
                <a:ext uri="{FF2B5EF4-FFF2-40B4-BE49-F238E27FC236}">
                  <a16:creationId xmlns:a16="http://schemas.microsoft.com/office/drawing/2014/main" id="{00000000-0008-0000-0000-0000AC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33" name="Group Box 2221" hidden="1">
              <a:extLst>
                <a:ext uri="{63B3BB69-23CF-44E3-9099-C40C66FF867C}">
                  <a14:compatExt spid="_x0000_s15533"/>
                </a:ext>
                <a:ext uri="{FF2B5EF4-FFF2-40B4-BE49-F238E27FC236}">
                  <a16:creationId xmlns:a16="http://schemas.microsoft.com/office/drawing/2014/main" id="{00000000-0008-0000-0000-0000AD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34" name="Group Box 2222" hidden="1">
              <a:extLst>
                <a:ext uri="{63B3BB69-23CF-44E3-9099-C40C66FF867C}">
                  <a14:compatExt spid="_x0000_s15534"/>
                </a:ext>
                <a:ext uri="{FF2B5EF4-FFF2-40B4-BE49-F238E27FC236}">
                  <a16:creationId xmlns:a16="http://schemas.microsoft.com/office/drawing/2014/main" id="{00000000-0008-0000-0000-0000AE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35" name="Group Box 2223" hidden="1">
              <a:extLst>
                <a:ext uri="{63B3BB69-23CF-44E3-9099-C40C66FF867C}">
                  <a14:compatExt spid="_x0000_s15535"/>
                </a:ext>
                <a:ext uri="{FF2B5EF4-FFF2-40B4-BE49-F238E27FC236}">
                  <a16:creationId xmlns:a16="http://schemas.microsoft.com/office/drawing/2014/main" id="{00000000-0008-0000-0000-0000AF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36" name="Group Box 2224" hidden="1">
              <a:extLst>
                <a:ext uri="{63B3BB69-23CF-44E3-9099-C40C66FF867C}">
                  <a14:compatExt spid="_x0000_s15536"/>
                </a:ext>
                <a:ext uri="{FF2B5EF4-FFF2-40B4-BE49-F238E27FC236}">
                  <a16:creationId xmlns:a16="http://schemas.microsoft.com/office/drawing/2014/main" id="{00000000-0008-0000-0000-0000B0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37" name="Group Box 2225" hidden="1">
              <a:extLst>
                <a:ext uri="{63B3BB69-23CF-44E3-9099-C40C66FF867C}">
                  <a14:compatExt spid="_x0000_s15537"/>
                </a:ext>
                <a:ext uri="{FF2B5EF4-FFF2-40B4-BE49-F238E27FC236}">
                  <a16:creationId xmlns:a16="http://schemas.microsoft.com/office/drawing/2014/main" id="{00000000-0008-0000-0000-0000B1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38" name="Group Box 2226" hidden="1">
              <a:extLst>
                <a:ext uri="{63B3BB69-23CF-44E3-9099-C40C66FF867C}">
                  <a14:compatExt spid="_x0000_s15538"/>
                </a:ext>
                <a:ext uri="{FF2B5EF4-FFF2-40B4-BE49-F238E27FC236}">
                  <a16:creationId xmlns:a16="http://schemas.microsoft.com/office/drawing/2014/main" id="{00000000-0008-0000-0000-0000B2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39" name="Group Box 2227" hidden="1">
              <a:extLst>
                <a:ext uri="{63B3BB69-23CF-44E3-9099-C40C66FF867C}">
                  <a14:compatExt spid="_x0000_s15539"/>
                </a:ext>
                <a:ext uri="{FF2B5EF4-FFF2-40B4-BE49-F238E27FC236}">
                  <a16:creationId xmlns:a16="http://schemas.microsoft.com/office/drawing/2014/main" id="{00000000-0008-0000-0000-0000B3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40" name="Group Box 2228" hidden="1">
              <a:extLst>
                <a:ext uri="{63B3BB69-23CF-44E3-9099-C40C66FF867C}">
                  <a14:compatExt spid="_x0000_s15540"/>
                </a:ext>
                <a:ext uri="{FF2B5EF4-FFF2-40B4-BE49-F238E27FC236}">
                  <a16:creationId xmlns:a16="http://schemas.microsoft.com/office/drawing/2014/main" id="{00000000-0008-0000-0000-0000B4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41" name="Group Box 2229" hidden="1">
              <a:extLst>
                <a:ext uri="{63B3BB69-23CF-44E3-9099-C40C66FF867C}">
                  <a14:compatExt spid="_x0000_s15541"/>
                </a:ext>
                <a:ext uri="{FF2B5EF4-FFF2-40B4-BE49-F238E27FC236}">
                  <a16:creationId xmlns:a16="http://schemas.microsoft.com/office/drawing/2014/main" id="{00000000-0008-0000-0000-0000B5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42" name="Group Box 2230" hidden="1">
              <a:extLst>
                <a:ext uri="{63B3BB69-23CF-44E3-9099-C40C66FF867C}">
                  <a14:compatExt spid="_x0000_s15542"/>
                </a:ext>
                <a:ext uri="{FF2B5EF4-FFF2-40B4-BE49-F238E27FC236}">
                  <a16:creationId xmlns:a16="http://schemas.microsoft.com/office/drawing/2014/main" id="{00000000-0008-0000-0000-0000B6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43" name="Group Box 2231" hidden="1">
              <a:extLst>
                <a:ext uri="{63B3BB69-23CF-44E3-9099-C40C66FF867C}">
                  <a14:compatExt spid="_x0000_s15543"/>
                </a:ext>
                <a:ext uri="{FF2B5EF4-FFF2-40B4-BE49-F238E27FC236}">
                  <a16:creationId xmlns:a16="http://schemas.microsoft.com/office/drawing/2014/main" id="{00000000-0008-0000-0000-0000B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44" name="Group Box 2232" hidden="1">
              <a:extLst>
                <a:ext uri="{63B3BB69-23CF-44E3-9099-C40C66FF867C}">
                  <a14:compatExt spid="_x0000_s15544"/>
                </a:ext>
                <a:ext uri="{FF2B5EF4-FFF2-40B4-BE49-F238E27FC236}">
                  <a16:creationId xmlns:a16="http://schemas.microsoft.com/office/drawing/2014/main" id="{00000000-0008-0000-0000-0000B8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45" name="Group Box 2233" hidden="1">
              <a:extLst>
                <a:ext uri="{63B3BB69-23CF-44E3-9099-C40C66FF867C}">
                  <a14:compatExt spid="_x0000_s15545"/>
                </a:ext>
                <a:ext uri="{FF2B5EF4-FFF2-40B4-BE49-F238E27FC236}">
                  <a16:creationId xmlns:a16="http://schemas.microsoft.com/office/drawing/2014/main" id="{00000000-0008-0000-0000-0000B9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5546" name="Group Box 2234" hidden="1">
              <a:extLst>
                <a:ext uri="{63B3BB69-23CF-44E3-9099-C40C66FF867C}">
                  <a14:compatExt spid="_x0000_s15546"/>
                </a:ext>
                <a:ext uri="{FF2B5EF4-FFF2-40B4-BE49-F238E27FC236}">
                  <a16:creationId xmlns:a16="http://schemas.microsoft.com/office/drawing/2014/main" id="{00000000-0008-0000-0000-0000BA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57</xdr:row>
          <xdr:rowOff>0</xdr:rowOff>
        </xdr:from>
        <xdr:to>
          <xdr:col>2</xdr:col>
          <xdr:colOff>0</xdr:colOff>
          <xdr:row>59</xdr:row>
          <xdr:rowOff>0</xdr:rowOff>
        </xdr:to>
        <xdr:sp macro="" textlink="">
          <xdr:nvSpPr>
            <xdr:cNvPr id="15551" name="Group Box 2239" hidden="1">
              <a:extLst>
                <a:ext uri="{63B3BB69-23CF-44E3-9099-C40C66FF867C}">
                  <a14:compatExt spid="_x0000_s15551"/>
                </a:ext>
                <a:ext uri="{FF2B5EF4-FFF2-40B4-BE49-F238E27FC236}">
                  <a16:creationId xmlns:a16="http://schemas.microsoft.com/office/drawing/2014/main" id="{00000000-0008-0000-0000-0000BF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55</xdr:row>
          <xdr:rowOff>0</xdr:rowOff>
        </xdr:from>
        <xdr:to>
          <xdr:col>2</xdr:col>
          <xdr:colOff>0</xdr:colOff>
          <xdr:row>57</xdr:row>
          <xdr:rowOff>0</xdr:rowOff>
        </xdr:to>
        <xdr:sp macro="" textlink="">
          <xdr:nvSpPr>
            <xdr:cNvPr id="15552" name="Group Box 2240" hidden="1">
              <a:extLst>
                <a:ext uri="{63B3BB69-23CF-44E3-9099-C40C66FF867C}">
                  <a14:compatExt spid="_x0000_s15552"/>
                </a:ext>
                <a:ext uri="{FF2B5EF4-FFF2-40B4-BE49-F238E27FC236}">
                  <a16:creationId xmlns:a16="http://schemas.microsoft.com/office/drawing/2014/main" id="{00000000-0008-0000-0000-0000C0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55</xdr:row>
          <xdr:rowOff>0</xdr:rowOff>
        </xdr:from>
        <xdr:to>
          <xdr:col>2</xdr:col>
          <xdr:colOff>0</xdr:colOff>
          <xdr:row>57</xdr:row>
          <xdr:rowOff>0</xdr:rowOff>
        </xdr:to>
        <xdr:sp macro="" textlink="">
          <xdr:nvSpPr>
            <xdr:cNvPr id="15553" name="Group Box 2241" hidden="1">
              <a:extLst>
                <a:ext uri="{63B3BB69-23CF-44E3-9099-C40C66FF867C}">
                  <a14:compatExt spid="_x0000_s15553"/>
                </a:ext>
                <a:ext uri="{FF2B5EF4-FFF2-40B4-BE49-F238E27FC236}">
                  <a16:creationId xmlns:a16="http://schemas.microsoft.com/office/drawing/2014/main" id="{00000000-0008-0000-0000-0000C1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133</xdr:row>
          <xdr:rowOff>0</xdr:rowOff>
        </xdr:from>
        <xdr:to>
          <xdr:col>6</xdr:col>
          <xdr:colOff>0</xdr:colOff>
          <xdr:row>134</xdr:row>
          <xdr:rowOff>0</xdr:rowOff>
        </xdr:to>
        <xdr:sp macro="" textlink="">
          <xdr:nvSpPr>
            <xdr:cNvPr id="15556" name="Group Box 2244" hidden="1">
              <a:extLst>
                <a:ext uri="{63B3BB69-23CF-44E3-9099-C40C66FF867C}">
                  <a14:compatExt spid="_x0000_s15556"/>
                </a:ext>
                <a:ext uri="{FF2B5EF4-FFF2-40B4-BE49-F238E27FC236}">
                  <a16:creationId xmlns:a16="http://schemas.microsoft.com/office/drawing/2014/main" id="{00000000-0008-0000-0000-0000C4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135</xdr:row>
          <xdr:rowOff>0</xdr:rowOff>
        </xdr:from>
        <xdr:to>
          <xdr:col>6</xdr:col>
          <xdr:colOff>0</xdr:colOff>
          <xdr:row>136</xdr:row>
          <xdr:rowOff>0</xdr:rowOff>
        </xdr:to>
        <xdr:sp macro="" textlink="">
          <xdr:nvSpPr>
            <xdr:cNvPr id="15557" name="Group Box 2245" hidden="1">
              <a:extLst>
                <a:ext uri="{63B3BB69-23CF-44E3-9099-C40C66FF867C}">
                  <a14:compatExt spid="_x0000_s15557"/>
                </a:ext>
                <a:ext uri="{FF2B5EF4-FFF2-40B4-BE49-F238E27FC236}">
                  <a16:creationId xmlns:a16="http://schemas.microsoft.com/office/drawing/2014/main" id="{00000000-0008-0000-0000-0000C5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135</xdr:row>
          <xdr:rowOff>0</xdr:rowOff>
        </xdr:from>
        <xdr:to>
          <xdr:col>6</xdr:col>
          <xdr:colOff>0</xdr:colOff>
          <xdr:row>136</xdr:row>
          <xdr:rowOff>0</xdr:rowOff>
        </xdr:to>
        <xdr:sp macro="" textlink="">
          <xdr:nvSpPr>
            <xdr:cNvPr id="15558" name="Group Box 2246" hidden="1">
              <a:extLst>
                <a:ext uri="{63B3BB69-23CF-44E3-9099-C40C66FF867C}">
                  <a14:compatExt spid="_x0000_s15558"/>
                </a:ext>
                <a:ext uri="{FF2B5EF4-FFF2-40B4-BE49-F238E27FC236}">
                  <a16:creationId xmlns:a16="http://schemas.microsoft.com/office/drawing/2014/main" id="{00000000-0008-0000-0000-0000C6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131</xdr:row>
          <xdr:rowOff>0</xdr:rowOff>
        </xdr:from>
        <xdr:to>
          <xdr:col>6</xdr:col>
          <xdr:colOff>0</xdr:colOff>
          <xdr:row>133</xdr:row>
          <xdr:rowOff>0</xdr:rowOff>
        </xdr:to>
        <xdr:sp macro="" textlink="">
          <xdr:nvSpPr>
            <xdr:cNvPr id="15559" name="Group Box 2247" hidden="1">
              <a:extLst>
                <a:ext uri="{63B3BB69-23CF-44E3-9099-C40C66FF867C}">
                  <a14:compatExt spid="_x0000_s15559"/>
                </a:ext>
                <a:ext uri="{FF2B5EF4-FFF2-40B4-BE49-F238E27FC236}">
                  <a16:creationId xmlns:a16="http://schemas.microsoft.com/office/drawing/2014/main" id="{00000000-0008-0000-0000-0000C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133</xdr:row>
          <xdr:rowOff>0</xdr:rowOff>
        </xdr:from>
        <xdr:to>
          <xdr:col>6</xdr:col>
          <xdr:colOff>0</xdr:colOff>
          <xdr:row>136</xdr:row>
          <xdr:rowOff>0</xdr:rowOff>
        </xdr:to>
        <xdr:sp macro="" textlink="">
          <xdr:nvSpPr>
            <xdr:cNvPr id="15561" name="Group Box 2249" hidden="1">
              <a:extLst>
                <a:ext uri="{63B3BB69-23CF-44E3-9099-C40C66FF867C}">
                  <a14:compatExt spid="_x0000_s15561"/>
                </a:ext>
                <a:ext uri="{FF2B5EF4-FFF2-40B4-BE49-F238E27FC236}">
                  <a16:creationId xmlns:a16="http://schemas.microsoft.com/office/drawing/2014/main" id="{00000000-0008-0000-0000-0000C9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133</xdr:row>
          <xdr:rowOff>0</xdr:rowOff>
        </xdr:from>
        <xdr:to>
          <xdr:col>6</xdr:col>
          <xdr:colOff>0</xdr:colOff>
          <xdr:row>136</xdr:row>
          <xdr:rowOff>0</xdr:rowOff>
        </xdr:to>
        <xdr:sp macro="" textlink="">
          <xdr:nvSpPr>
            <xdr:cNvPr id="15562" name="Group Box 2250" hidden="1">
              <a:extLst>
                <a:ext uri="{63B3BB69-23CF-44E3-9099-C40C66FF867C}">
                  <a14:compatExt spid="_x0000_s15562"/>
                </a:ext>
                <a:ext uri="{FF2B5EF4-FFF2-40B4-BE49-F238E27FC236}">
                  <a16:creationId xmlns:a16="http://schemas.microsoft.com/office/drawing/2014/main" id="{00000000-0008-0000-0000-0000CA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133</xdr:row>
          <xdr:rowOff>0</xdr:rowOff>
        </xdr:from>
        <xdr:to>
          <xdr:col>6</xdr:col>
          <xdr:colOff>0</xdr:colOff>
          <xdr:row>135</xdr:row>
          <xdr:rowOff>0</xdr:rowOff>
        </xdr:to>
        <xdr:sp macro="" textlink="">
          <xdr:nvSpPr>
            <xdr:cNvPr id="15563" name="Group Box 2251" hidden="1">
              <a:extLst>
                <a:ext uri="{63B3BB69-23CF-44E3-9099-C40C66FF867C}">
                  <a14:compatExt spid="_x0000_s15563"/>
                </a:ext>
                <a:ext uri="{FF2B5EF4-FFF2-40B4-BE49-F238E27FC236}">
                  <a16:creationId xmlns:a16="http://schemas.microsoft.com/office/drawing/2014/main" id="{00000000-0008-0000-0000-0000CB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116</xdr:row>
          <xdr:rowOff>0</xdr:rowOff>
        </xdr:from>
        <xdr:to>
          <xdr:col>6</xdr:col>
          <xdr:colOff>0</xdr:colOff>
          <xdr:row>117</xdr:row>
          <xdr:rowOff>0</xdr:rowOff>
        </xdr:to>
        <xdr:sp macro="" textlink="">
          <xdr:nvSpPr>
            <xdr:cNvPr id="15565" name="Group Box 2253" hidden="1">
              <a:extLst>
                <a:ext uri="{63B3BB69-23CF-44E3-9099-C40C66FF867C}">
                  <a14:compatExt spid="_x0000_s15565"/>
                </a:ext>
                <a:ext uri="{FF2B5EF4-FFF2-40B4-BE49-F238E27FC236}">
                  <a16:creationId xmlns:a16="http://schemas.microsoft.com/office/drawing/2014/main" id="{00000000-0008-0000-0000-0000CD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53</xdr:row>
          <xdr:rowOff>0</xdr:rowOff>
        </xdr:from>
        <xdr:to>
          <xdr:col>2</xdr:col>
          <xdr:colOff>0</xdr:colOff>
          <xdr:row>55</xdr:row>
          <xdr:rowOff>0</xdr:rowOff>
        </xdr:to>
        <xdr:sp macro="" textlink="">
          <xdr:nvSpPr>
            <xdr:cNvPr id="15573" name="Group Box 2261" hidden="1">
              <a:extLst>
                <a:ext uri="{63B3BB69-23CF-44E3-9099-C40C66FF867C}">
                  <a14:compatExt spid="_x0000_s15573"/>
                </a:ext>
                <a:ext uri="{FF2B5EF4-FFF2-40B4-BE49-F238E27FC236}">
                  <a16:creationId xmlns:a16="http://schemas.microsoft.com/office/drawing/2014/main" id="{00000000-0008-0000-0000-0000D5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53</xdr:row>
          <xdr:rowOff>0</xdr:rowOff>
        </xdr:from>
        <xdr:to>
          <xdr:col>2</xdr:col>
          <xdr:colOff>0</xdr:colOff>
          <xdr:row>55</xdr:row>
          <xdr:rowOff>0</xdr:rowOff>
        </xdr:to>
        <xdr:sp macro="" textlink="">
          <xdr:nvSpPr>
            <xdr:cNvPr id="15574" name="Group Box 2262" hidden="1">
              <a:extLst>
                <a:ext uri="{63B3BB69-23CF-44E3-9099-C40C66FF867C}">
                  <a14:compatExt spid="_x0000_s15574"/>
                </a:ext>
                <a:ext uri="{FF2B5EF4-FFF2-40B4-BE49-F238E27FC236}">
                  <a16:creationId xmlns:a16="http://schemas.microsoft.com/office/drawing/2014/main" id="{00000000-0008-0000-0000-0000D6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53</xdr:row>
          <xdr:rowOff>0</xdr:rowOff>
        </xdr:from>
        <xdr:to>
          <xdr:col>2</xdr:col>
          <xdr:colOff>0</xdr:colOff>
          <xdr:row>55</xdr:row>
          <xdr:rowOff>0</xdr:rowOff>
        </xdr:to>
        <xdr:sp macro="" textlink="">
          <xdr:nvSpPr>
            <xdr:cNvPr id="15575" name="Group Box 2263" hidden="1">
              <a:extLst>
                <a:ext uri="{63B3BB69-23CF-44E3-9099-C40C66FF867C}">
                  <a14:compatExt spid="_x0000_s15575"/>
                </a:ext>
                <a:ext uri="{FF2B5EF4-FFF2-40B4-BE49-F238E27FC236}">
                  <a16:creationId xmlns:a16="http://schemas.microsoft.com/office/drawing/2014/main" id="{00000000-0008-0000-0000-0000D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6</xdr:col>
      <xdr:colOff>73269</xdr:colOff>
      <xdr:row>122</xdr:row>
      <xdr:rowOff>1783</xdr:rowOff>
    </xdr:from>
    <xdr:to>
      <xdr:col>10</xdr:col>
      <xdr:colOff>28859</xdr:colOff>
      <xdr:row>123</xdr:row>
      <xdr:rowOff>818</xdr:rowOff>
    </xdr:to>
    <xdr:pic>
      <xdr:nvPicPr>
        <xdr:cNvPr id="9" name="Grafik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a:stretch>
          <a:fillRect/>
        </a:stretch>
      </xdr:blipFill>
      <xdr:spPr>
        <a:xfrm>
          <a:off x="5700346" y="27367841"/>
          <a:ext cx="3758263" cy="306765"/>
        </a:xfrm>
        <a:prstGeom prst="rect">
          <a:avLst/>
        </a:prstGeom>
      </xdr:spPr>
    </xdr:pic>
    <xdr:clientData/>
  </xdr:twoCellAnchor>
  <xdr:twoCellAnchor editAs="oneCell">
    <xdr:from>
      <xdr:col>7</xdr:col>
      <xdr:colOff>519507</xdr:colOff>
      <xdr:row>157</xdr:row>
      <xdr:rowOff>60999</xdr:rowOff>
    </xdr:from>
    <xdr:to>
      <xdr:col>10</xdr:col>
      <xdr:colOff>807515</xdr:colOff>
      <xdr:row>159</xdr:row>
      <xdr:rowOff>2798380</xdr:rowOff>
    </xdr:to>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rotWithShape="1">
        <a:blip xmlns:r="http://schemas.openxmlformats.org/officeDocument/2006/relationships" r:embed="rId2"/>
        <a:srcRect l="13333" t="2562" r="11765" b="3717"/>
        <a:stretch/>
      </xdr:blipFill>
      <xdr:spPr>
        <a:xfrm>
          <a:off x="7003076" y="40676913"/>
          <a:ext cx="3244042" cy="3341725"/>
        </a:xfrm>
        <a:prstGeom prst="rect">
          <a:avLst/>
        </a:prstGeom>
      </xdr:spPr>
    </xdr:pic>
    <xdr:clientData/>
  </xdr:twoCellAnchor>
  <xdr:twoCellAnchor>
    <xdr:from>
      <xdr:col>8</xdr:col>
      <xdr:colOff>726280</xdr:colOff>
      <xdr:row>159</xdr:row>
      <xdr:rowOff>1041797</xdr:rowOff>
    </xdr:from>
    <xdr:to>
      <xdr:col>10</xdr:col>
      <xdr:colOff>17858</xdr:colOff>
      <xdr:row>159</xdr:row>
      <xdr:rowOff>1315641</xdr:rowOff>
    </xdr:to>
    <xdr:sp macro="" textlink="">
      <xdr:nvSpPr>
        <xdr:cNvPr id="3" name="Textfeld 2">
          <a:extLst>
            <a:ext uri="{FF2B5EF4-FFF2-40B4-BE49-F238E27FC236}">
              <a16:creationId xmlns:a16="http://schemas.microsoft.com/office/drawing/2014/main" id="{00000000-0008-0000-0000-000003000000}"/>
            </a:ext>
          </a:extLst>
        </xdr:cNvPr>
        <xdr:cNvSpPr txBox="1"/>
      </xdr:nvSpPr>
      <xdr:spPr>
        <a:xfrm>
          <a:off x="8131968" y="42249328"/>
          <a:ext cx="1309687" cy="27384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Picture 01 Pedestal </a:t>
          </a:r>
        </a:p>
      </xdr:txBody>
    </xdr:sp>
    <xdr:clientData/>
  </xdr:twoCellAnchor>
  <xdr:twoCellAnchor editAs="oneCell">
    <xdr:from>
      <xdr:col>11</xdr:col>
      <xdr:colOff>392206</xdr:colOff>
      <xdr:row>69</xdr:row>
      <xdr:rowOff>112059</xdr:rowOff>
    </xdr:from>
    <xdr:to>
      <xdr:col>15</xdr:col>
      <xdr:colOff>143095</xdr:colOff>
      <xdr:row>92</xdr:row>
      <xdr:rowOff>124926</xdr:rowOff>
    </xdr:to>
    <xdr:pic>
      <xdr:nvPicPr>
        <xdr:cNvPr id="4" name="Grafik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stretch>
          <a:fillRect/>
        </a:stretch>
      </xdr:blipFill>
      <xdr:spPr>
        <a:xfrm>
          <a:off x="10656794" y="15968383"/>
          <a:ext cx="9612066" cy="3867690"/>
        </a:xfrm>
        <a:prstGeom prst="rect">
          <a:avLst/>
        </a:prstGeom>
      </xdr:spPr>
    </xdr:pic>
    <xdr:clientData/>
  </xdr:twoCellAnchor>
  <xdr:twoCellAnchor editAs="oneCell">
    <xdr:from>
      <xdr:col>9</xdr:col>
      <xdr:colOff>315057</xdr:colOff>
      <xdr:row>159</xdr:row>
      <xdr:rowOff>4024573</xdr:rowOff>
    </xdr:from>
    <xdr:to>
      <xdr:col>10</xdr:col>
      <xdr:colOff>763045</xdr:colOff>
      <xdr:row>160</xdr:row>
      <xdr:rowOff>36412</xdr:rowOff>
    </xdr:to>
    <xdr:pic>
      <xdr:nvPicPr>
        <xdr:cNvPr id="5" name="Grafik 4">
          <a:extLst>
            <a:ext uri="{FF2B5EF4-FFF2-40B4-BE49-F238E27FC236}">
              <a16:creationId xmlns:a16="http://schemas.microsoft.com/office/drawing/2014/main" id="{6589714E-0914-4CB3-B344-A7DF0C7CF3F4}"/>
            </a:ext>
          </a:extLst>
        </xdr:cNvPr>
        <xdr:cNvPicPr>
          <a:picLocks noChangeAspect="1"/>
        </xdr:cNvPicPr>
      </xdr:nvPicPr>
      <xdr:blipFill>
        <a:blip xmlns:r="http://schemas.openxmlformats.org/officeDocument/2006/relationships" r:embed="rId4"/>
        <a:stretch>
          <a:fillRect/>
        </a:stretch>
      </xdr:blipFill>
      <xdr:spPr>
        <a:xfrm>
          <a:off x="8969200" y="45077323"/>
          <a:ext cx="1223595" cy="1209769"/>
        </a:xfrm>
        <a:prstGeom prst="rect">
          <a:avLst/>
        </a:prstGeom>
      </xdr:spPr>
    </xdr:pic>
    <xdr:clientData/>
  </xdr:twoCellAnchor>
  <xdr:twoCellAnchor editAs="oneCell">
    <xdr:from>
      <xdr:col>7</xdr:col>
      <xdr:colOff>777699</xdr:colOff>
      <xdr:row>159</xdr:row>
      <xdr:rowOff>2830285</xdr:rowOff>
    </xdr:from>
    <xdr:to>
      <xdr:col>10</xdr:col>
      <xdr:colOff>639294</xdr:colOff>
      <xdr:row>159</xdr:row>
      <xdr:rowOff>4024574</xdr:rowOff>
    </xdr:to>
    <xdr:pic>
      <xdr:nvPicPr>
        <xdr:cNvPr id="6" name="Grafik 5">
          <a:extLst>
            <a:ext uri="{FF2B5EF4-FFF2-40B4-BE49-F238E27FC236}">
              <a16:creationId xmlns:a16="http://schemas.microsoft.com/office/drawing/2014/main" id="{820A1BC1-562A-4999-9B92-48CF92A94B61}"/>
            </a:ext>
          </a:extLst>
        </xdr:cNvPr>
        <xdr:cNvPicPr>
          <a:picLocks noChangeAspect="1"/>
        </xdr:cNvPicPr>
      </xdr:nvPicPr>
      <xdr:blipFill>
        <a:blip xmlns:r="http://schemas.openxmlformats.org/officeDocument/2006/relationships" r:embed="rId5"/>
        <a:stretch>
          <a:fillRect/>
        </a:stretch>
      </xdr:blipFill>
      <xdr:spPr>
        <a:xfrm>
          <a:off x="7254699" y="43883035"/>
          <a:ext cx="2814345" cy="1194289"/>
        </a:xfrm>
        <a:prstGeom prst="rect">
          <a:avLst/>
        </a:prstGeom>
      </xdr:spPr>
    </xdr:pic>
    <xdr:clientData/>
  </xdr:twoCellAnchor>
  <xdr:twoCellAnchor editAs="oneCell">
    <xdr:from>
      <xdr:col>4</xdr:col>
      <xdr:colOff>8444</xdr:colOff>
      <xdr:row>159</xdr:row>
      <xdr:rowOff>4115674</xdr:rowOff>
    </xdr:from>
    <xdr:to>
      <xdr:col>5</xdr:col>
      <xdr:colOff>645884</xdr:colOff>
      <xdr:row>159</xdr:row>
      <xdr:rowOff>4705311</xdr:rowOff>
    </xdr:to>
    <xdr:pic>
      <xdr:nvPicPr>
        <xdr:cNvPr id="7" name="Grafik 6" descr="Ein Bild, das Entwurf, Diagramm, Text, Plan enthält.&#10;&#10;Automatisch generierte Beschreibung">
          <a:extLst>
            <a:ext uri="{FF2B5EF4-FFF2-40B4-BE49-F238E27FC236}">
              <a16:creationId xmlns:a16="http://schemas.microsoft.com/office/drawing/2014/main" id="{2D2294A5-90B4-4D45-9519-B4846F304FDC}"/>
            </a:ext>
          </a:extLst>
        </xdr:cNvPr>
        <xdr:cNvPicPr>
          <a:picLocks noChangeAspect="1"/>
        </xdr:cNvPicPr>
      </xdr:nvPicPr>
      <xdr:blipFill>
        <a:blip xmlns:r="http://schemas.openxmlformats.org/officeDocument/2006/relationships" r:embed="rId6"/>
        <a:stretch>
          <a:fillRect/>
        </a:stretch>
      </xdr:blipFill>
      <xdr:spPr>
        <a:xfrm>
          <a:off x="4002375" y="45335933"/>
          <a:ext cx="1497975" cy="58963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bbgn306a\Alle$\personal\andreas_karl_trenchgroup_com\Documents\Desktop\DB_GIF_2022_2201000343.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siemensenergyag-my.sharepoint.com/200%20Auftragsmanagement/Datenblatt%20%20Vorlagen/DB_GIF_2022_AST.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J:\200%20Auftragsmanagement\Datenblatt%20%20Vorlagen\TEST_PROJEKT_ANGEBOTSUNTERLAGEN\DB_GIF_2022_V_1.5_TEST_Angebotsunterlagen.xlsm" TargetMode="External"/><Relationship Id="rId1" Type="http://schemas.openxmlformats.org/officeDocument/2006/relationships/externalLinkPath" Target="/200%20Auftragsmanagement/Datenblatt%20%20Vorlagen/TEST_PROJEKT_ANGEBOTSUNTERLAGEN/DB_GIF_2022_V_1.5_TEST_Angebotsunterlagen.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siemensenergyag-my.sharepoint.com/200%20Auftragsmanagement/Auftr&#228;ge/Kundenauftr&#228;ge/2301000007/2301000007_10/2301000007_10%20DB.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B GIF"/>
      <sheetName val="Tabelle2"/>
      <sheetName val="Tabelle1"/>
      <sheetName val="Auswahlfelder"/>
      <sheetName val="Modellliste"/>
      <sheetName val="Isolatoren"/>
      <sheetName val="bedingte Auswahlfelder"/>
      <sheetName val="Angebotsdatenblatt"/>
      <sheetName val="Translation"/>
    </sheetNames>
    <sheetDataSet>
      <sheetData sheetId="0"/>
      <sheetData sheetId="1"/>
      <sheetData sheetId="2"/>
      <sheetData sheetId="3">
        <row r="38">
          <cell r="N38" t="str">
            <v>?</v>
          </cell>
        </row>
        <row r="39">
          <cell r="N39" t="str">
            <v>Interne Abstimmung in Form eines dokumentierten Teammeetings</v>
          </cell>
        </row>
        <row r="40">
          <cell r="N40" t="str">
            <v>Erweitertung / Ergänzug FMEA</v>
          </cell>
        </row>
        <row r="41">
          <cell r="N41" t="str">
            <v>Abwägung Risikoanalyse &gt; Keine Risikobetrachtung erforderlich</v>
          </cell>
        </row>
      </sheetData>
      <sheetData sheetId="4"/>
      <sheetData sheetId="5"/>
      <sheetData sheetId="6"/>
      <sheetData sheetId="7"/>
      <sheetData sheetId="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B GIF"/>
      <sheetName val="Tabelle2"/>
      <sheetName val="Tabelle1"/>
      <sheetName val="Auswahlfelder"/>
      <sheetName val="Modellliste"/>
      <sheetName val="Isolatoren"/>
      <sheetName val="bedingte Auswahlfelder"/>
      <sheetName val="Angebotsdatenblatt"/>
      <sheetName val="Translation"/>
    </sheetNames>
    <sheetDataSet>
      <sheetData sheetId="0"/>
      <sheetData sheetId="1"/>
      <sheetData sheetId="2"/>
      <sheetData sheetId="3">
        <row r="2">
          <cell r="C2" t="e">
            <v>#N/A</v>
          </cell>
        </row>
      </sheetData>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akro1"/>
      <sheetName val="DB GIF"/>
      <sheetName val="DB-Versionen"/>
      <sheetName val="Revisionen"/>
      <sheetName val="Auswahlfelder"/>
      <sheetName val="Modellliste"/>
      <sheetName val="Isolatoren"/>
      <sheetName val="bedingte Auswahlfelder"/>
      <sheetName val="Angebotsdatenblatt_VTG-VTA"/>
      <sheetName val="Angebotsdatenblatt_CTG-CTA"/>
      <sheetName val="Angebotsdatenblatt_VCG-VCA"/>
      <sheetName val="Tabelle4"/>
      <sheetName val="Translation"/>
    </sheetNames>
    <sheetDataSet>
      <sheetData sheetId="0"/>
      <sheetData sheetId="1">
        <row r="27">
          <cell r="J27"/>
        </row>
        <row r="62">
          <cell r="D62"/>
          <cell r="E62"/>
          <cell r="F62"/>
          <cell r="G62"/>
          <cell r="H62"/>
          <cell r="I62"/>
        </row>
        <row r="143">
          <cell r="E143" t="str">
            <v>Alu silber &amp; schwarze Schrift</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B GIF"/>
      <sheetName val="DB-Versionen"/>
      <sheetName val="Tabelle1"/>
      <sheetName val="Auswahlfelder"/>
      <sheetName val="Modellliste"/>
      <sheetName val="Isolatoren"/>
      <sheetName val="bedingte Auswahlfelder"/>
      <sheetName val="Angebotsdatenblatt"/>
      <sheetName val="Translation"/>
      <sheetName val="2301000007_10 DB"/>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refreshError="1"/>
      <sheetData sheetId="9" refreshError="1"/>
    </sheetDataSet>
  </externalBook>
</externalLink>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v>
    <v>8</v>
    <v>0</v>
    <v>6</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Modeltabelle" displayName="Modeltabelle" ref="A1:K360" totalsRowShown="0" headerRowDxfId="265" dataDxfId="264" headerRowCellStyle="Standard 2">
  <autoFilter ref="A1:K360" xr:uid="{00000000-0009-0000-0100-000001000000}"/>
  <sortState xmlns:xlrd2="http://schemas.microsoft.com/office/spreadsheetml/2017/richdata2" ref="A2:K357">
    <sortCondition ref="A1:A357"/>
  </sortState>
  <tableColumns count="11">
    <tableColumn id="1" xr3:uid="{00000000-0010-0000-0000-000001000000}" name="SAP Teile-bezeichnung" dataDxfId="263"/>
    <tableColumn id="2" xr3:uid="{00000000-0010-0000-0000-000002000000}" name="Wandlertyp" dataDxfId="262"/>
    <tableColumn id="10" xr3:uid="{00000000-0010-0000-0000-00000A000000}" name="Bezeichnung Typenschild" dataDxfId="261"/>
    <tableColumn id="3" xr3:uid="{00000000-0010-0000-0000-000003000000}" name="Gruppe" dataDxfId="260"/>
    <tableColumn id="4" xr3:uid="{00000000-0010-0000-0000-000004000000}" name="kV_x000a_Ebene" dataDxfId="259"/>
    <tableColumn id="5" xr3:uid="{00000000-0010-0000-0000-000005000000}" name="Schlagweite" dataDxfId="258"/>
    <tableColumn id="6" xr3:uid="{00000000-0010-0000-0000-000006000000}" name="BIL" dataDxfId="257"/>
    <tableColumn id="7" xr3:uid="{00000000-0010-0000-0000-000007000000}" name="Stehwechsel" dataDxfId="256"/>
    <tableColumn id="8" xr3:uid="{00000000-0010-0000-0000-000008000000}" name="Schaltstoß-spannung" dataDxfId="255"/>
    <tableColumn id="9" xr3:uid="{00000000-0010-0000-0000-000009000000}" name="chopped" dataDxfId="254">
      <calculatedColumnFormula>G2*1.15</calculatedColumnFormula>
    </tableColumn>
    <tableColumn id="11" xr3:uid="{1190B049-0BAC-450C-BC3A-15F7747A535C}" name="SAP Bez." dataDxfId="253"/>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114.xml"/><Relationship Id="rId299" Type="http://schemas.openxmlformats.org/officeDocument/2006/relationships/ctrlProp" Target="../ctrlProps/ctrlProp296.xml"/><Relationship Id="rId21" Type="http://schemas.openxmlformats.org/officeDocument/2006/relationships/ctrlProp" Target="../ctrlProps/ctrlProp18.xml"/><Relationship Id="rId63" Type="http://schemas.openxmlformats.org/officeDocument/2006/relationships/ctrlProp" Target="../ctrlProps/ctrlProp60.xml"/><Relationship Id="rId159" Type="http://schemas.openxmlformats.org/officeDocument/2006/relationships/ctrlProp" Target="../ctrlProps/ctrlProp156.xml"/><Relationship Id="rId324" Type="http://schemas.openxmlformats.org/officeDocument/2006/relationships/ctrlProp" Target="../ctrlProps/ctrlProp321.xml"/><Relationship Id="rId170" Type="http://schemas.openxmlformats.org/officeDocument/2006/relationships/ctrlProp" Target="../ctrlProps/ctrlProp167.xml"/><Relationship Id="rId226" Type="http://schemas.openxmlformats.org/officeDocument/2006/relationships/ctrlProp" Target="../ctrlProps/ctrlProp223.xml"/><Relationship Id="rId268" Type="http://schemas.openxmlformats.org/officeDocument/2006/relationships/ctrlProp" Target="../ctrlProps/ctrlProp265.xml"/><Relationship Id="rId32" Type="http://schemas.openxmlformats.org/officeDocument/2006/relationships/ctrlProp" Target="../ctrlProps/ctrlProp29.xml"/><Relationship Id="rId74" Type="http://schemas.openxmlformats.org/officeDocument/2006/relationships/ctrlProp" Target="../ctrlProps/ctrlProp71.xml"/><Relationship Id="rId128" Type="http://schemas.openxmlformats.org/officeDocument/2006/relationships/ctrlProp" Target="../ctrlProps/ctrlProp125.xml"/><Relationship Id="rId335" Type="http://schemas.openxmlformats.org/officeDocument/2006/relationships/ctrlProp" Target="../ctrlProps/ctrlProp332.xml"/><Relationship Id="rId5" Type="http://schemas.openxmlformats.org/officeDocument/2006/relationships/ctrlProp" Target="../ctrlProps/ctrlProp2.xml"/><Relationship Id="rId181" Type="http://schemas.openxmlformats.org/officeDocument/2006/relationships/ctrlProp" Target="../ctrlProps/ctrlProp178.xml"/><Relationship Id="rId237" Type="http://schemas.openxmlformats.org/officeDocument/2006/relationships/ctrlProp" Target="../ctrlProps/ctrlProp234.xml"/><Relationship Id="rId279" Type="http://schemas.openxmlformats.org/officeDocument/2006/relationships/ctrlProp" Target="../ctrlProps/ctrlProp276.xml"/><Relationship Id="rId43" Type="http://schemas.openxmlformats.org/officeDocument/2006/relationships/ctrlProp" Target="../ctrlProps/ctrlProp40.xml"/><Relationship Id="rId139" Type="http://schemas.openxmlformats.org/officeDocument/2006/relationships/ctrlProp" Target="../ctrlProps/ctrlProp136.xml"/><Relationship Id="rId290" Type="http://schemas.openxmlformats.org/officeDocument/2006/relationships/ctrlProp" Target="../ctrlProps/ctrlProp287.xml"/><Relationship Id="rId304" Type="http://schemas.openxmlformats.org/officeDocument/2006/relationships/ctrlProp" Target="../ctrlProps/ctrlProp301.xml"/><Relationship Id="rId346" Type="http://schemas.openxmlformats.org/officeDocument/2006/relationships/ctrlProp" Target="../ctrlProps/ctrlProp343.xml"/><Relationship Id="rId85" Type="http://schemas.openxmlformats.org/officeDocument/2006/relationships/ctrlProp" Target="../ctrlProps/ctrlProp82.xml"/><Relationship Id="rId150" Type="http://schemas.openxmlformats.org/officeDocument/2006/relationships/ctrlProp" Target="../ctrlProps/ctrlProp147.xml"/><Relationship Id="rId192" Type="http://schemas.openxmlformats.org/officeDocument/2006/relationships/ctrlProp" Target="../ctrlProps/ctrlProp189.xml"/><Relationship Id="rId206" Type="http://schemas.openxmlformats.org/officeDocument/2006/relationships/ctrlProp" Target="../ctrlProps/ctrlProp203.xml"/><Relationship Id="rId248" Type="http://schemas.openxmlformats.org/officeDocument/2006/relationships/ctrlProp" Target="../ctrlProps/ctrlProp245.xml"/><Relationship Id="rId12" Type="http://schemas.openxmlformats.org/officeDocument/2006/relationships/ctrlProp" Target="../ctrlProps/ctrlProp9.xml"/><Relationship Id="rId108" Type="http://schemas.openxmlformats.org/officeDocument/2006/relationships/ctrlProp" Target="../ctrlProps/ctrlProp105.xml"/><Relationship Id="rId315" Type="http://schemas.openxmlformats.org/officeDocument/2006/relationships/ctrlProp" Target="../ctrlProps/ctrlProp312.xml"/><Relationship Id="rId54" Type="http://schemas.openxmlformats.org/officeDocument/2006/relationships/ctrlProp" Target="../ctrlProps/ctrlProp51.xml"/><Relationship Id="rId96" Type="http://schemas.openxmlformats.org/officeDocument/2006/relationships/ctrlProp" Target="../ctrlProps/ctrlProp93.xml"/><Relationship Id="rId161" Type="http://schemas.openxmlformats.org/officeDocument/2006/relationships/ctrlProp" Target="../ctrlProps/ctrlProp158.xml"/><Relationship Id="rId217" Type="http://schemas.openxmlformats.org/officeDocument/2006/relationships/ctrlProp" Target="../ctrlProps/ctrlProp214.xml"/><Relationship Id="rId259" Type="http://schemas.openxmlformats.org/officeDocument/2006/relationships/ctrlProp" Target="../ctrlProps/ctrlProp256.xml"/><Relationship Id="rId23" Type="http://schemas.openxmlformats.org/officeDocument/2006/relationships/ctrlProp" Target="../ctrlProps/ctrlProp20.xml"/><Relationship Id="rId119" Type="http://schemas.openxmlformats.org/officeDocument/2006/relationships/ctrlProp" Target="../ctrlProps/ctrlProp116.xml"/><Relationship Id="rId270" Type="http://schemas.openxmlformats.org/officeDocument/2006/relationships/ctrlProp" Target="../ctrlProps/ctrlProp267.xml"/><Relationship Id="rId326" Type="http://schemas.openxmlformats.org/officeDocument/2006/relationships/ctrlProp" Target="../ctrlProps/ctrlProp323.xml"/><Relationship Id="rId65" Type="http://schemas.openxmlformats.org/officeDocument/2006/relationships/ctrlProp" Target="../ctrlProps/ctrlProp62.xml"/><Relationship Id="rId130" Type="http://schemas.openxmlformats.org/officeDocument/2006/relationships/ctrlProp" Target="../ctrlProps/ctrlProp127.xml"/><Relationship Id="rId172" Type="http://schemas.openxmlformats.org/officeDocument/2006/relationships/ctrlProp" Target="../ctrlProps/ctrlProp169.xml"/><Relationship Id="rId228" Type="http://schemas.openxmlformats.org/officeDocument/2006/relationships/ctrlProp" Target="../ctrlProps/ctrlProp225.xml"/><Relationship Id="rId281" Type="http://schemas.openxmlformats.org/officeDocument/2006/relationships/ctrlProp" Target="../ctrlProps/ctrlProp278.xml"/><Relationship Id="rId337" Type="http://schemas.openxmlformats.org/officeDocument/2006/relationships/ctrlProp" Target="../ctrlProps/ctrlProp334.xml"/><Relationship Id="rId34" Type="http://schemas.openxmlformats.org/officeDocument/2006/relationships/ctrlProp" Target="../ctrlProps/ctrlProp31.xml"/><Relationship Id="rId76" Type="http://schemas.openxmlformats.org/officeDocument/2006/relationships/ctrlProp" Target="../ctrlProps/ctrlProp73.xml"/><Relationship Id="rId141" Type="http://schemas.openxmlformats.org/officeDocument/2006/relationships/ctrlProp" Target="../ctrlProps/ctrlProp138.xml"/><Relationship Id="rId7" Type="http://schemas.openxmlformats.org/officeDocument/2006/relationships/ctrlProp" Target="../ctrlProps/ctrlProp4.xml"/><Relationship Id="rId183" Type="http://schemas.openxmlformats.org/officeDocument/2006/relationships/ctrlProp" Target="../ctrlProps/ctrlProp180.xml"/><Relationship Id="rId239" Type="http://schemas.openxmlformats.org/officeDocument/2006/relationships/ctrlProp" Target="../ctrlProps/ctrlProp236.xml"/><Relationship Id="rId250" Type="http://schemas.openxmlformats.org/officeDocument/2006/relationships/ctrlProp" Target="../ctrlProps/ctrlProp247.xml"/><Relationship Id="rId292" Type="http://schemas.openxmlformats.org/officeDocument/2006/relationships/ctrlProp" Target="../ctrlProps/ctrlProp289.xml"/><Relationship Id="rId306" Type="http://schemas.openxmlformats.org/officeDocument/2006/relationships/ctrlProp" Target="../ctrlProps/ctrlProp303.xml"/><Relationship Id="rId45" Type="http://schemas.openxmlformats.org/officeDocument/2006/relationships/ctrlProp" Target="../ctrlProps/ctrlProp42.xml"/><Relationship Id="rId87" Type="http://schemas.openxmlformats.org/officeDocument/2006/relationships/ctrlProp" Target="../ctrlProps/ctrlProp84.xml"/><Relationship Id="rId110" Type="http://schemas.openxmlformats.org/officeDocument/2006/relationships/ctrlProp" Target="../ctrlProps/ctrlProp107.xml"/><Relationship Id="rId348" Type="http://schemas.openxmlformats.org/officeDocument/2006/relationships/ctrlProp" Target="../ctrlProps/ctrlProp345.xml"/><Relationship Id="rId152" Type="http://schemas.openxmlformats.org/officeDocument/2006/relationships/ctrlProp" Target="../ctrlProps/ctrlProp149.xml"/><Relationship Id="rId194" Type="http://schemas.openxmlformats.org/officeDocument/2006/relationships/ctrlProp" Target="../ctrlProps/ctrlProp191.xml"/><Relationship Id="rId208" Type="http://schemas.openxmlformats.org/officeDocument/2006/relationships/ctrlProp" Target="../ctrlProps/ctrlProp205.xml"/><Relationship Id="rId261" Type="http://schemas.openxmlformats.org/officeDocument/2006/relationships/ctrlProp" Target="../ctrlProps/ctrlProp258.xml"/><Relationship Id="rId14" Type="http://schemas.openxmlformats.org/officeDocument/2006/relationships/ctrlProp" Target="../ctrlProps/ctrlProp11.xml"/><Relationship Id="rId56" Type="http://schemas.openxmlformats.org/officeDocument/2006/relationships/ctrlProp" Target="../ctrlProps/ctrlProp53.xml"/><Relationship Id="rId317" Type="http://schemas.openxmlformats.org/officeDocument/2006/relationships/ctrlProp" Target="../ctrlProps/ctrlProp314.xml"/><Relationship Id="rId98" Type="http://schemas.openxmlformats.org/officeDocument/2006/relationships/ctrlProp" Target="../ctrlProps/ctrlProp95.xml"/><Relationship Id="rId121" Type="http://schemas.openxmlformats.org/officeDocument/2006/relationships/ctrlProp" Target="../ctrlProps/ctrlProp118.xml"/><Relationship Id="rId163" Type="http://schemas.openxmlformats.org/officeDocument/2006/relationships/ctrlProp" Target="../ctrlProps/ctrlProp160.xml"/><Relationship Id="rId219" Type="http://schemas.openxmlformats.org/officeDocument/2006/relationships/ctrlProp" Target="../ctrlProps/ctrlProp216.xml"/><Relationship Id="rId230" Type="http://schemas.openxmlformats.org/officeDocument/2006/relationships/ctrlProp" Target="../ctrlProps/ctrlProp227.xml"/><Relationship Id="rId251" Type="http://schemas.openxmlformats.org/officeDocument/2006/relationships/ctrlProp" Target="../ctrlProps/ctrlProp248.x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272" Type="http://schemas.openxmlformats.org/officeDocument/2006/relationships/ctrlProp" Target="../ctrlProps/ctrlProp269.xml"/><Relationship Id="rId293" Type="http://schemas.openxmlformats.org/officeDocument/2006/relationships/ctrlProp" Target="../ctrlProps/ctrlProp290.xml"/><Relationship Id="rId307" Type="http://schemas.openxmlformats.org/officeDocument/2006/relationships/ctrlProp" Target="../ctrlProps/ctrlProp304.xml"/><Relationship Id="rId328" Type="http://schemas.openxmlformats.org/officeDocument/2006/relationships/ctrlProp" Target="../ctrlProps/ctrlProp325.xml"/><Relationship Id="rId349" Type="http://schemas.openxmlformats.org/officeDocument/2006/relationships/ctrlProp" Target="../ctrlProps/ctrlProp346.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95" Type="http://schemas.openxmlformats.org/officeDocument/2006/relationships/ctrlProp" Target="../ctrlProps/ctrlProp192.xml"/><Relationship Id="rId209" Type="http://schemas.openxmlformats.org/officeDocument/2006/relationships/ctrlProp" Target="../ctrlProps/ctrlProp206.xml"/><Relationship Id="rId220" Type="http://schemas.openxmlformats.org/officeDocument/2006/relationships/ctrlProp" Target="../ctrlProps/ctrlProp217.xml"/><Relationship Id="rId241" Type="http://schemas.openxmlformats.org/officeDocument/2006/relationships/ctrlProp" Target="../ctrlProps/ctrlProp238.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262" Type="http://schemas.openxmlformats.org/officeDocument/2006/relationships/ctrlProp" Target="../ctrlProps/ctrlProp259.xml"/><Relationship Id="rId283" Type="http://schemas.openxmlformats.org/officeDocument/2006/relationships/ctrlProp" Target="../ctrlProps/ctrlProp280.xml"/><Relationship Id="rId318" Type="http://schemas.openxmlformats.org/officeDocument/2006/relationships/ctrlProp" Target="../ctrlProps/ctrlProp315.xml"/><Relationship Id="rId339" Type="http://schemas.openxmlformats.org/officeDocument/2006/relationships/ctrlProp" Target="../ctrlProps/ctrlProp336.xml"/><Relationship Id="rId78" Type="http://schemas.openxmlformats.org/officeDocument/2006/relationships/ctrlProp" Target="../ctrlProps/ctrlProp75.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64" Type="http://schemas.openxmlformats.org/officeDocument/2006/relationships/ctrlProp" Target="../ctrlProps/ctrlProp161.xml"/><Relationship Id="rId185" Type="http://schemas.openxmlformats.org/officeDocument/2006/relationships/ctrlProp" Target="../ctrlProps/ctrlProp182.xml"/><Relationship Id="rId350" Type="http://schemas.openxmlformats.org/officeDocument/2006/relationships/ctrlProp" Target="../ctrlProps/ctrlProp347.xml"/><Relationship Id="rId9" Type="http://schemas.openxmlformats.org/officeDocument/2006/relationships/ctrlProp" Target="../ctrlProps/ctrlProp6.xml"/><Relationship Id="rId210" Type="http://schemas.openxmlformats.org/officeDocument/2006/relationships/ctrlProp" Target="../ctrlProps/ctrlProp207.xml"/><Relationship Id="rId26" Type="http://schemas.openxmlformats.org/officeDocument/2006/relationships/ctrlProp" Target="../ctrlProps/ctrlProp23.xml"/><Relationship Id="rId231" Type="http://schemas.openxmlformats.org/officeDocument/2006/relationships/ctrlProp" Target="../ctrlProps/ctrlProp228.xml"/><Relationship Id="rId252" Type="http://schemas.openxmlformats.org/officeDocument/2006/relationships/ctrlProp" Target="../ctrlProps/ctrlProp249.xml"/><Relationship Id="rId273" Type="http://schemas.openxmlformats.org/officeDocument/2006/relationships/ctrlProp" Target="../ctrlProps/ctrlProp270.xml"/><Relationship Id="rId294" Type="http://schemas.openxmlformats.org/officeDocument/2006/relationships/ctrlProp" Target="../ctrlProps/ctrlProp291.xml"/><Relationship Id="rId308" Type="http://schemas.openxmlformats.org/officeDocument/2006/relationships/ctrlProp" Target="../ctrlProps/ctrlProp305.xml"/><Relationship Id="rId329" Type="http://schemas.openxmlformats.org/officeDocument/2006/relationships/ctrlProp" Target="../ctrlProps/ctrlProp326.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340" Type="http://schemas.openxmlformats.org/officeDocument/2006/relationships/ctrlProp" Target="../ctrlProps/ctrlProp337.xml"/><Relationship Id="rId196" Type="http://schemas.openxmlformats.org/officeDocument/2006/relationships/ctrlProp" Target="../ctrlProps/ctrlProp193.xml"/><Relationship Id="rId200" Type="http://schemas.openxmlformats.org/officeDocument/2006/relationships/ctrlProp" Target="../ctrlProps/ctrlProp197.xml"/><Relationship Id="rId16" Type="http://schemas.openxmlformats.org/officeDocument/2006/relationships/ctrlProp" Target="../ctrlProps/ctrlProp13.xml"/><Relationship Id="rId221" Type="http://schemas.openxmlformats.org/officeDocument/2006/relationships/ctrlProp" Target="../ctrlProps/ctrlProp218.xml"/><Relationship Id="rId242" Type="http://schemas.openxmlformats.org/officeDocument/2006/relationships/ctrlProp" Target="../ctrlProps/ctrlProp239.xml"/><Relationship Id="rId263" Type="http://schemas.openxmlformats.org/officeDocument/2006/relationships/ctrlProp" Target="../ctrlProps/ctrlProp260.xml"/><Relationship Id="rId284" Type="http://schemas.openxmlformats.org/officeDocument/2006/relationships/ctrlProp" Target="../ctrlProps/ctrlProp281.xml"/><Relationship Id="rId319" Type="http://schemas.openxmlformats.org/officeDocument/2006/relationships/ctrlProp" Target="../ctrlProps/ctrlProp316.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330" Type="http://schemas.openxmlformats.org/officeDocument/2006/relationships/ctrlProp" Target="../ctrlProps/ctrlProp327.xml"/><Relationship Id="rId90" Type="http://schemas.openxmlformats.org/officeDocument/2006/relationships/ctrlProp" Target="../ctrlProps/ctrlProp87.xml"/><Relationship Id="rId165" Type="http://schemas.openxmlformats.org/officeDocument/2006/relationships/ctrlProp" Target="../ctrlProps/ctrlProp162.xml"/><Relationship Id="rId186" Type="http://schemas.openxmlformats.org/officeDocument/2006/relationships/ctrlProp" Target="../ctrlProps/ctrlProp183.xml"/><Relationship Id="rId351" Type="http://schemas.openxmlformats.org/officeDocument/2006/relationships/ctrlProp" Target="../ctrlProps/ctrlProp348.xml"/><Relationship Id="rId211" Type="http://schemas.openxmlformats.org/officeDocument/2006/relationships/ctrlProp" Target="../ctrlProps/ctrlProp208.xml"/><Relationship Id="rId232" Type="http://schemas.openxmlformats.org/officeDocument/2006/relationships/ctrlProp" Target="../ctrlProps/ctrlProp229.xml"/><Relationship Id="rId253" Type="http://schemas.openxmlformats.org/officeDocument/2006/relationships/ctrlProp" Target="../ctrlProps/ctrlProp250.xml"/><Relationship Id="rId274" Type="http://schemas.openxmlformats.org/officeDocument/2006/relationships/ctrlProp" Target="../ctrlProps/ctrlProp271.xml"/><Relationship Id="rId295" Type="http://schemas.openxmlformats.org/officeDocument/2006/relationships/ctrlProp" Target="../ctrlProps/ctrlProp292.xml"/><Relationship Id="rId309" Type="http://schemas.openxmlformats.org/officeDocument/2006/relationships/ctrlProp" Target="../ctrlProps/ctrlProp306.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320" Type="http://schemas.openxmlformats.org/officeDocument/2006/relationships/ctrlProp" Target="../ctrlProps/ctrlProp317.xml"/><Relationship Id="rId80" Type="http://schemas.openxmlformats.org/officeDocument/2006/relationships/ctrlProp" Target="../ctrlProps/ctrlProp77.xml"/><Relationship Id="rId155" Type="http://schemas.openxmlformats.org/officeDocument/2006/relationships/ctrlProp" Target="../ctrlProps/ctrlProp152.xml"/><Relationship Id="rId176" Type="http://schemas.openxmlformats.org/officeDocument/2006/relationships/ctrlProp" Target="../ctrlProps/ctrlProp173.xml"/><Relationship Id="rId197" Type="http://schemas.openxmlformats.org/officeDocument/2006/relationships/ctrlProp" Target="../ctrlProps/ctrlProp194.xml"/><Relationship Id="rId341" Type="http://schemas.openxmlformats.org/officeDocument/2006/relationships/ctrlProp" Target="../ctrlProps/ctrlProp338.xml"/><Relationship Id="rId201" Type="http://schemas.openxmlformats.org/officeDocument/2006/relationships/ctrlProp" Target="../ctrlProps/ctrlProp198.xml"/><Relationship Id="rId222" Type="http://schemas.openxmlformats.org/officeDocument/2006/relationships/ctrlProp" Target="../ctrlProps/ctrlProp219.xml"/><Relationship Id="rId243" Type="http://schemas.openxmlformats.org/officeDocument/2006/relationships/ctrlProp" Target="../ctrlProps/ctrlProp240.xml"/><Relationship Id="rId264" Type="http://schemas.openxmlformats.org/officeDocument/2006/relationships/ctrlProp" Target="../ctrlProps/ctrlProp261.xml"/><Relationship Id="rId285" Type="http://schemas.openxmlformats.org/officeDocument/2006/relationships/ctrlProp" Target="../ctrlProps/ctrlProp28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 Id="rId310" Type="http://schemas.openxmlformats.org/officeDocument/2006/relationships/ctrlProp" Target="../ctrlProps/ctrlProp307.xml"/><Relationship Id="rId70" Type="http://schemas.openxmlformats.org/officeDocument/2006/relationships/ctrlProp" Target="../ctrlProps/ctrlProp67.xml"/><Relationship Id="rId91" Type="http://schemas.openxmlformats.org/officeDocument/2006/relationships/ctrlProp" Target="../ctrlProps/ctrlProp88.xml"/><Relationship Id="rId145" Type="http://schemas.openxmlformats.org/officeDocument/2006/relationships/ctrlProp" Target="../ctrlProps/ctrlProp142.xml"/><Relationship Id="rId166" Type="http://schemas.openxmlformats.org/officeDocument/2006/relationships/ctrlProp" Target="../ctrlProps/ctrlProp163.xml"/><Relationship Id="rId187" Type="http://schemas.openxmlformats.org/officeDocument/2006/relationships/ctrlProp" Target="../ctrlProps/ctrlProp184.xml"/><Relationship Id="rId331" Type="http://schemas.openxmlformats.org/officeDocument/2006/relationships/ctrlProp" Target="../ctrlProps/ctrlProp328.xml"/><Relationship Id="rId352" Type="http://schemas.openxmlformats.org/officeDocument/2006/relationships/ctrlProp" Target="../ctrlProps/ctrlProp349.xml"/><Relationship Id="rId1" Type="http://schemas.openxmlformats.org/officeDocument/2006/relationships/printerSettings" Target="../printerSettings/printerSettings1.bin"/><Relationship Id="rId212" Type="http://schemas.openxmlformats.org/officeDocument/2006/relationships/ctrlProp" Target="../ctrlProps/ctrlProp209.xml"/><Relationship Id="rId233" Type="http://schemas.openxmlformats.org/officeDocument/2006/relationships/ctrlProp" Target="../ctrlProps/ctrlProp230.xml"/><Relationship Id="rId254" Type="http://schemas.openxmlformats.org/officeDocument/2006/relationships/ctrlProp" Target="../ctrlProps/ctrlProp251.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275" Type="http://schemas.openxmlformats.org/officeDocument/2006/relationships/ctrlProp" Target="../ctrlProps/ctrlProp272.xml"/><Relationship Id="rId296" Type="http://schemas.openxmlformats.org/officeDocument/2006/relationships/ctrlProp" Target="../ctrlProps/ctrlProp293.xml"/><Relationship Id="rId300" Type="http://schemas.openxmlformats.org/officeDocument/2006/relationships/ctrlProp" Target="../ctrlProps/ctrlProp297.xml"/><Relationship Id="rId60" Type="http://schemas.openxmlformats.org/officeDocument/2006/relationships/ctrlProp" Target="../ctrlProps/ctrlProp57.xml"/><Relationship Id="rId81" Type="http://schemas.openxmlformats.org/officeDocument/2006/relationships/ctrlProp" Target="../ctrlProps/ctrlProp78.xml"/><Relationship Id="rId135" Type="http://schemas.openxmlformats.org/officeDocument/2006/relationships/ctrlProp" Target="../ctrlProps/ctrlProp132.xml"/><Relationship Id="rId156" Type="http://schemas.openxmlformats.org/officeDocument/2006/relationships/ctrlProp" Target="../ctrlProps/ctrlProp153.xml"/><Relationship Id="rId177" Type="http://schemas.openxmlformats.org/officeDocument/2006/relationships/ctrlProp" Target="../ctrlProps/ctrlProp174.xml"/><Relationship Id="rId198" Type="http://schemas.openxmlformats.org/officeDocument/2006/relationships/ctrlProp" Target="../ctrlProps/ctrlProp195.xml"/><Relationship Id="rId321" Type="http://schemas.openxmlformats.org/officeDocument/2006/relationships/ctrlProp" Target="../ctrlProps/ctrlProp318.xml"/><Relationship Id="rId342" Type="http://schemas.openxmlformats.org/officeDocument/2006/relationships/ctrlProp" Target="../ctrlProps/ctrlProp339.xml"/><Relationship Id="rId202" Type="http://schemas.openxmlformats.org/officeDocument/2006/relationships/ctrlProp" Target="../ctrlProps/ctrlProp199.xml"/><Relationship Id="rId223" Type="http://schemas.openxmlformats.org/officeDocument/2006/relationships/ctrlProp" Target="../ctrlProps/ctrlProp220.xml"/><Relationship Id="rId244" Type="http://schemas.openxmlformats.org/officeDocument/2006/relationships/ctrlProp" Target="../ctrlProps/ctrlProp241.xml"/><Relationship Id="rId18" Type="http://schemas.openxmlformats.org/officeDocument/2006/relationships/ctrlProp" Target="../ctrlProps/ctrlProp15.xml"/><Relationship Id="rId39" Type="http://schemas.openxmlformats.org/officeDocument/2006/relationships/ctrlProp" Target="../ctrlProps/ctrlProp36.xml"/><Relationship Id="rId265" Type="http://schemas.openxmlformats.org/officeDocument/2006/relationships/ctrlProp" Target="../ctrlProps/ctrlProp262.xml"/><Relationship Id="rId286" Type="http://schemas.openxmlformats.org/officeDocument/2006/relationships/ctrlProp" Target="../ctrlProps/ctrlProp283.xml"/><Relationship Id="rId50" Type="http://schemas.openxmlformats.org/officeDocument/2006/relationships/ctrlProp" Target="../ctrlProps/ctrlProp47.xml"/><Relationship Id="rId104" Type="http://schemas.openxmlformats.org/officeDocument/2006/relationships/ctrlProp" Target="../ctrlProps/ctrlProp101.xml"/><Relationship Id="rId125" Type="http://schemas.openxmlformats.org/officeDocument/2006/relationships/ctrlProp" Target="../ctrlProps/ctrlProp122.xml"/><Relationship Id="rId146" Type="http://schemas.openxmlformats.org/officeDocument/2006/relationships/ctrlProp" Target="../ctrlProps/ctrlProp143.xml"/><Relationship Id="rId167" Type="http://schemas.openxmlformats.org/officeDocument/2006/relationships/ctrlProp" Target="../ctrlProps/ctrlProp164.xml"/><Relationship Id="rId188" Type="http://schemas.openxmlformats.org/officeDocument/2006/relationships/ctrlProp" Target="../ctrlProps/ctrlProp185.xml"/><Relationship Id="rId311" Type="http://schemas.openxmlformats.org/officeDocument/2006/relationships/ctrlProp" Target="../ctrlProps/ctrlProp308.xml"/><Relationship Id="rId332" Type="http://schemas.openxmlformats.org/officeDocument/2006/relationships/ctrlProp" Target="../ctrlProps/ctrlProp329.xml"/><Relationship Id="rId353" Type="http://schemas.openxmlformats.org/officeDocument/2006/relationships/ctrlProp" Target="../ctrlProps/ctrlProp350.xml"/><Relationship Id="rId71" Type="http://schemas.openxmlformats.org/officeDocument/2006/relationships/ctrlProp" Target="../ctrlProps/ctrlProp68.xml"/><Relationship Id="rId92" Type="http://schemas.openxmlformats.org/officeDocument/2006/relationships/ctrlProp" Target="../ctrlProps/ctrlProp89.xml"/><Relationship Id="rId213" Type="http://schemas.openxmlformats.org/officeDocument/2006/relationships/ctrlProp" Target="../ctrlProps/ctrlProp210.xml"/><Relationship Id="rId234" Type="http://schemas.openxmlformats.org/officeDocument/2006/relationships/ctrlProp" Target="../ctrlProps/ctrlProp231.xml"/><Relationship Id="rId2" Type="http://schemas.openxmlformats.org/officeDocument/2006/relationships/drawing" Target="../drawings/drawing1.xml"/><Relationship Id="rId29" Type="http://schemas.openxmlformats.org/officeDocument/2006/relationships/ctrlProp" Target="../ctrlProps/ctrlProp26.xml"/><Relationship Id="rId255" Type="http://schemas.openxmlformats.org/officeDocument/2006/relationships/ctrlProp" Target="../ctrlProps/ctrlProp252.xml"/><Relationship Id="rId276" Type="http://schemas.openxmlformats.org/officeDocument/2006/relationships/ctrlProp" Target="../ctrlProps/ctrlProp273.xml"/><Relationship Id="rId297" Type="http://schemas.openxmlformats.org/officeDocument/2006/relationships/ctrlProp" Target="../ctrlProps/ctrlProp294.xml"/><Relationship Id="rId40" Type="http://schemas.openxmlformats.org/officeDocument/2006/relationships/ctrlProp" Target="../ctrlProps/ctrlProp37.xml"/><Relationship Id="rId115" Type="http://schemas.openxmlformats.org/officeDocument/2006/relationships/ctrlProp" Target="../ctrlProps/ctrlProp112.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 Id="rId301" Type="http://schemas.openxmlformats.org/officeDocument/2006/relationships/ctrlProp" Target="../ctrlProps/ctrlProp298.xml"/><Relationship Id="rId322" Type="http://schemas.openxmlformats.org/officeDocument/2006/relationships/ctrlProp" Target="../ctrlProps/ctrlProp319.xml"/><Relationship Id="rId343" Type="http://schemas.openxmlformats.org/officeDocument/2006/relationships/ctrlProp" Target="../ctrlProps/ctrlProp340.xml"/><Relationship Id="rId61" Type="http://schemas.openxmlformats.org/officeDocument/2006/relationships/ctrlProp" Target="../ctrlProps/ctrlProp58.xml"/><Relationship Id="rId82" Type="http://schemas.openxmlformats.org/officeDocument/2006/relationships/ctrlProp" Target="../ctrlProps/ctrlProp79.xml"/><Relationship Id="rId199" Type="http://schemas.openxmlformats.org/officeDocument/2006/relationships/ctrlProp" Target="../ctrlProps/ctrlProp196.xml"/><Relationship Id="rId203" Type="http://schemas.openxmlformats.org/officeDocument/2006/relationships/ctrlProp" Target="../ctrlProps/ctrlProp200.xml"/><Relationship Id="rId19" Type="http://schemas.openxmlformats.org/officeDocument/2006/relationships/ctrlProp" Target="../ctrlProps/ctrlProp16.xml"/><Relationship Id="rId224" Type="http://schemas.openxmlformats.org/officeDocument/2006/relationships/ctrlProp" Target="../ctrlProps/ctrlProp221.xml"/><Relationship Id="rId245" Type="http://schemas.openxmlformats.org/officeDocument/2006/relationships/ctrlProp" Target="../ctrlProps/ctrlProp242.xml"/><Relationship Id="rId266" Type="http://schemas.openxmlformats.org/officeDocument/2006/relationships/ctrlProp" Target="../ctrlProps/ctrlProp263.xml"/><Relationship Id="rId287" Type="http://schemas.openxmlformats.org/officeDocument/2006/relationships/ctrlProp" Target="../ctrlProps/ctrlProp284.xml"/><Relationship Id="rId30" Type="http://schemas.openxmlformats.org/officeDocument/2006/relationships/ctrlProp" Target="../ctrlProps/ctrlProp2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312" Type="http://schemas.openxmlformats.org/officeDocument/2006/relationships/ctrlProp" Target="../ctrlProps/ctrlProp309.xml"/><Relationship Id="rId333" Type="http://schemas.openxmlformats.org/officeDocument/2006/relationships/ctrlProp" Target="../ctrlProps/ctrlProp330.xml"/><Relationship Id="rId354" Type="http://schemas.openxmlformats.org/officeDocument/2006/relationships/ctrlProp" Target="../ctrlProps/ctrlProp351.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189" Type="http://schemas.openxmlformats.org/officeDocument/2006/relationships/ctrlProp" Target="../ctrlProps/ctrlProp186.xml"/><Relationship Id="rId3" Type="http://schemas.openxmlformats.org/officeDocument/2006/relationships/vmlDrawing" Target="../drawings/vmlDrawing1.vml"/><Relationship Id="rId214" Type="http://schemas.openxmlformats.org/officeDocument/2006/relationships/ctrlProp" Target="../ctrlProps/ctrlProp211.xml"/><Relationship Id="rId235" Type="http://schemas.openxmlformats.org/officeDocument/2006/relationships/ctrlProp" Target="../ctrlProps/ctrlProp232.xml"/><Relationship Id="rId256" Type="http://schemas.openxmlformats.org/officeDocument/2006/relationships/ctrlProp" Target="../ctrlProps/ctrlProp253.xml"/><Relationship Id="rId277" Type="http://schemas.openxmlformats.org/officeDocument/2006/relationships/ctrlProp" Target="../ctrlProps/ctrlProp274.xml"/><Relationship Id="rId298" Type="http://schemas.openxmlformats.org/officeDocument/2006/relationships/ctrlProp" Target="../ctrlProps/ctrlProp295.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302" Type="http://schemas.openxmlformats.org/officeDocument/2006/relationships/ctrlProp" Target="../ctrlProps/ctrlProp299.xml"/><Relationship Id="rId323" Type="http://schemas.openxmlformats.org/officeDocument/2006/relationships/ctrlProp" Target="../ctrlProps/ctrlProp320.xml"/><Relationship Id="rId344" Type="http://schemas.openxmlformats.org/officeDocument/2006/relationships/ctrlProp" Target="../ctrlProps/ctrlProp341.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179" Type="http://schemas.openxmlformats.org/officeDocument/2006/relationships/ctrlProp" Target="../ctrlProps/ctrlProp176.xml"/><Relationship Id="rId190" Type="http://schemas.openxmlformats.org/officeDocument/2006/relationships/ctrlProp" Target="../ctrlProps/ctrlProp187.xml"/><Relationship Id="rId204" Type="http://schemas.openxmlformats.org/officeDocument/2006/relationships/ctrlProp" Target="../ctrlProps/ctrlProp201.xml"/><Relationship Id="rId225" Type="http://schemas.openxmlformats.org/officeDocument/2006/relationships/ctrlProp" Target="../ctrlProps/ctrlProp222.xml"/><Relationship Id="rId246" Type="http://schemas.openxmlformats.org/officeDocument/2006/relationships/ctrlProp" Target="../ctrlProps/ctrlProp243.xml"/><Relationship Id="rId267" Type="http://schemas.openxmlformats.org/officeDocument/2006/relationships/ctrlProp" Target="../ctrlProps/ctrlProp264.xml"/><Relationship Id="rId288" Type="http://schemas.openxmlformats.org/officeDocument/2006/relationships/ctrlProp" Target="../ctrlProps/ctrlProp285.xml"/><Relationship Id="rId106" Type="http://schemas.openxmlformats.org/officeDocument/2006/relationships/ctrlProp" Target="../ctrlProps/ctrlProp103.xml"/><Relationship Id="rId127" Type="http://schemas.openxmlformats.org/officeDocument/2006/relationships/ctrlProp" Target="../ctrlProps/ctrlProp124.xml"/><Relationship Id="rId313" Type="http://schemas.openxmlformats.org/officeDocument/2006/relationships/ctrlProp" Target="../ctrlProps/ctrlProp310.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94" Type="http://schemas.openxmlformats.org/officeDocument/2006/relationships/ctrlProp" Target="../ctrlProps/ctrlProp91.xml"/><Relationship Id="rId148" Type="http://schemas.openxmlformats.org/officeDocument/2006/relationships/ctrlProp" Target="../ctrlProps/ctrlProp145.xml"/><Relationship Id="rId169" Type="http://schemas.openxmlformats.org/officeDocument/2006/relationships/ctrlProp" Target="../ctrlProps/ctrlProp166.xml"/><Relationship Id="rId334" Type="http://schemas.openxmlformats.org/officeDocument/2006/relationships/ctrlProp" Target="../ctrlProps/ctrlProp331.xml"/><Relationship Id="rId355" Type="http://schemas.openxmlformats.org/officeDocument/2006/relationships/comments" Target="../comments1.xml"/><Relationship Id="rId4" Type="http://schemas.openxmlformats.org/officeDocument/2006/relationships/ctrlProp" Target="../ctrlProps/ctrlProp1.xml"/><Relationship Id="rId180" Type="http://schemas.openxmlformats.org/officeDocument/2006/relationships/ctrlProp" Target="../ctrlProps/ctrlProp177.xml"/><Relationship Id="rId215" Type="http://schemas.openxmlformats.org/officeDocument/2006/relationships/ctrlProp" Target="../ctrlProps/ctrlProp212.xml"/><Relationship Id="rId236" Type="http://schemas.openxmlformats.org/officeDocument/2006/relationships/ctrlProp" Target="../ctrlProps/ctrlProp233.xml"/><Relationship Id="rId257" Type="http://schemas.openxmlformats.org/officeDocument/2006/relationships/ctrlProp" Target="../ctrlProps/ctrlProp254.xml"/><Relationship Id="rId278" Type="http://schemas.openxmlformats.org/officeDocument/2006/relationships/ctrlProp" Target="../ctrlProps/ctrlProp275.xml"/><Relationship Id="rId303" Type="http://schemas.openxmlformats.org/officeDocument/2006/relationships/ctrlProp" Target="../ctrlProps/ctrlProp300.xml"/><Relationship Id="rId42" Type="http://schemas.openxmlformats.org/officeDocument/2006/relationships/ctrlProp" Target="../ctrlProps/ctrlProp39.xml"/><Relationship Id="rId84" Type="http://schemas.openxmlformats.org/officeDocument/2006/relationships/ctrlProp" Target="../ctrlProps/ctrlProp81.xml"/><Relationship Id="rId138" Type="http://schemas.openxmlformats.org/officeDocument/2006/relationships/ctrlProp" Target="../ctrlProps/ctrlProp135.xml"/><Relationship Id="rId345" Type="http://schemas.openxmlformats.org/officeDocument/2006/relationships/ctrlProp" Target="../ctrlProps/ctrlProp342.xml"/><Relationship Id="rId191" Type="http://schemas.openxmlformats.org/officeDocument/2006/relationships/ctrlProp" Target="../ctrlProps/ctrlProp188.xml"/><Relationship Id="rId205" Type="http://schemas.openxmlformats.org/officeDocument/2006/relationships/ctrlProp" Target="../ctrlProps/ctrlProp202.xml"/><Relationship Id="rId247" Type="http://schemas.openxmlformats.org/officeDocument/2006/relationships/ctrlProp" Target="../ctrlProps/ctrlProp244.xml"/><Relationship Id="rId107" Type="http://schemas.openxmlformats.org/officeDocument/2006/relationships/ctrlProp" Target="../ctrlProps/ctrlProp104.xml"/><Relationship Id="rId289" Type="http://schemas.openxmlformats.org/officeDocument/2006/relationships/ctrlProp" Target="../ctrlProps/ctrlProp286.xml"/><Relationship Id="rId11" Type="http://schemas.openxmlformats.org/officeDocument/2006/relationships/ctrlProp" Target="../ctrlProps/ctrlProp8.xml"/><Relationship Id="rId53" Type="http://schemas.openxmlformats.org/officeDocument/2006/relationships/ctrlProp" Target="../ctrlProps/ctrlProp50.xml"/><Relationship Id="rId149" Type="http://schemas.openxmlformats.org/officeDocument/2006/relationships/ctrlProp" Target="../ctrlProps/ctrlProp146.xml"/><Relationship Id="rId314" Type="http://schemas.openxmlformats.org/officeDocument/2006/relationships/ctrlProp" Target="../ctrlProps/ctrlProp311.xml"/><Relationship Id="rId95" Type="http://schemas.openxmlformats.org/officeDocument/2006/relationships/ctrlProp" Target="../ctrlProps/ctrlProp92.xml"/><Relationship Id="rId160" Type="http://schemas.openxmlformats.org/officeDocument/2006/relationships/ctrlProp" Target="../ctrlProps/ctrlProp157.xml"/><Relationship Id="rId216" Type="http://schemas.openxmlformats.org/officeDocument/2006/relationships/ctrlProp" Target="../ctrlProps/ctrlProp213.xml"/><Relationship Id="rId258" Type="http://schemas.openxmlformats.org/officeDocument/2006/relationships/ctrlProp" Target="../ctrlProps/ctrlProp255.xml"/><Relationship Id="rId22" Type="http://schemas.openxmlformats.org/officeDocument/2006/relationships/ctrlProp" Target="../ctrlProps/ctrlProp19.xml"/><Relationship Id="rId64" Type="http://schemas.openxmlformats.org/officeDocument/2006/relationships/ctrlProp" Target="../ctrlProps/ctrlProp61.xml"/><Relationship Id="rId118" Type="http://schemas.openxmlformats.org/officeDocument/2006/relationships/ctrlProp" Target="../ctrlProps/ctrlProp115.xml"/><Relationship Id="rId325" Type="http://schemas.openxmlformats.org/officeDocument/2006/relationships/ctrlProp" Target="../ctrlProps/ctrlProp322.xml"/><Relationship Id="rId171" Type="http://schemas.openxmlformats.org/officeDocument/2006/relationships/ctrlProp" Target="../ctrlProps/ctrlProp168.xml"/><Relationship Id="rId227" Type="http://schemas.openxmlformats.org/officeDocument/2006/relationships/ctrlProp" Target="../ctrlProps/ctrlProp224.xml"/><Relationship Id="rId269" Type="http://schemas.openxmlformats.org/officeDocument/2006/relationships/ctrlProp" Target="../ctrlProps/ctrlProp266.xml"/><Relationship Id="rId33" Type="http://schemas.openxmlformats.org/officeDocument/2006/relationships/ctrlProp" Target="../ctrlProps/ctrlProp30.xml"/><Relationship Id="rId129" Type="http://schemas.openxmlformats.org/officeDocument/2006/relationships/ctrlProp" Target="../ctrlProps/ctrlProp126.xml"/><Relationship Id="rId280" Type="http://schemas.openxmlformats.org/officeDocument/2006/relationships/ctrlProp" Target="../ctrlProps/ctrlProp277.xml"/><Relationship Id="rId336" Type="http://schemas.openxmlformats.org/officeDocument/2006/relationships/ctrlProp" Target="../ctrlProps/ctrlProp333.xml"/><Relationship Id="rId75" Type="http://schemas.openxmlformats.org/officeDocument/2006/relationships/ctrlProp" Target="../ctrlProps/ctrlProp72.xml"/><Relationship Id="rId140" Type="http://schemas.openxmlformats.org/officeDocument/2006/relationships/ctrlProp" Target="../ctrlProps/ctrlProp137.xml"/><Relationship Id="rId182" Type="http://schemas.openxmlformats.org/officeDocument/2006/relationships/ctrlProp" Target="../ctrlProps/ctrlProp179.xml"/><Relationship Id="rId6" Type="http://schemas.openxmlformats.org/officeDocument/2006/relationships/ctrlProp" Target="../ctrlProps/ctrlProp3.xml"/><Relationship Id="rId238" Type="http://schemas.openxmlformats.org/officeDocument/2006/relationships/ctrlProp" Target="../ctrlProps/ctrlProp235.xml"/><Relationship Id="rId291" Type="http://schemas.openxmlformats.org/officeDocument/2006/relationships/ctrlProp" Target="../ctrlProps/ctrlProp288.xml"/><Relationship Id="rId305" Type="http://schemas.openxmlformats.org/officeDocument/2006/relationships/ctrlProp" Target="../ctrlProps/ctrlProp302.xml"/><Relationship Id="rId347" Type="http://schemas.openxmlformats.org/officeDocument/2006/relationships/ctrlProp" Target="../ctrlProps/ctrlProp344.xml"/><Relationship Id="rId44" Type="http://schemas.openxmlformats.org/officeDocument/2006/relationships/ctrlProp" Target="../ctrlProps/ctrlProp41.xml"/><Relationship Id="rId86" Type="http://schemas.openxmlformats.org/officeDocument/2006/relationships/ctrlProp" Target="../ctrlProps/ctrlProp83.xml"/><Relationship Id="rId151" Type="http://schemas.openxmlformats.org/officeDocument/2006/relationships/ctrlProp" Target="../ctrlProps/ctrlProp148.xml"/><Relationship Id="rId193" Type="http://schemas.openxmlformats.org/officeDocument/2006/relationships/ctrlProp" Target="../ctrlProps/ctrlProp190.xml"/><Relationship Id="rId207" Type="http://schemas.openxmlformats.org/officeDocument/2006/relationships/ctrlProp" Target="../ctrlProps/ctrlProp204.xml"/><Relationship Id="rId249" Type="http://schemas.openxmlformats.org/officeDocument/2006/relationships/ctrlProp" Target="../ctrlProps/ctrlProp246.xml"/><Relationship Id="rId13" Type="http://schemas.openxmlformats.org/officeDocument/2006/relationships/ctrlProp" Target="../ctrlProps/ctrlProp10.xml"/><Relationship Id="rId109" Type="http://schemas.openxmlformats.org/officeDocument/2006/relationships/ctrlProp" Target="../ctrlProps/ctrlProp106.xml"/><Relationship Id="rId260" Type="http://schemas.openxmlformats.org/officeDocument/2006/relationships/ctrlProp" Target="../ctrlProps/ctrlProp257.xml"/><Relationship Id="rId316" Type="http://schemas.openxmlformats.org/officeDocument/2006/relationships/ctrlProp" Target="../ctrlProps/ctrlProp313.xml"/><Relationship Id="rId55" Type="http://schemas.openxmlformats.org/officeDocument/2006/relationships/ctrlProp" Target="../ctrlProps/ctrlProp52.xml"/><Relationship Id="rId97" Type="http://schemas.openxmlformats.org/officeDocument/2006/relationships/ctrlProp" Target="../ctrlProps/ctrlProp94.xml"/><Relationship Id="rId120" Type="http://schemas.openxmlformats.org/officeDocument/2006/relationships/ctrlProp" Target="../ctrlProps/ctrlProp117.xml"/><Relationship Id="rId162" Type="http://schemas.openxmlformats.org/officeDocument/2006/relationships/ctrlProp" Target="../ctrlProps/ctrlProp159.xml"/><Relationship Id="rId218" Type="http://schemas.openxmlformats.org/officeDocument/2006/relationships/ctrlProp" Target="../ctrlProps/ctrlProp215.xml"/><Relationship Id="rId271" Type="http://schemas.openxmlformats.org/officeDocument/2006/relationships/ctrlProp" Target="../ctrlProps/ctrlProp268.xml"/><Relationship Id="rId24" Type="http://schemas.openxmlformats.org/officeDocument/2006/relationships/ctrlProp" Target="../ctrlProps/ctrlProp21.xml"/><Relationship Id="rId66" Type="http://schemas.openxmlformats.org/officeDocument/2006/relationships/ctrlProp" Target="../ctrlProps/ctrlProp63.xml"/><Relationship Id="rId131" Type="http://schemas.openxmlformats.org/officeDocument/2006/relationships/ctrlProp" Target="../ctrlProps/ctrlProp128.xml"/><Relationship Id="rId327" Type="http://schemas.openxmlformats.org/officeDocument/2006/relationships/ctrlProp" Target="../ctrlProps/ctrlProp324.xml"/><Relationship Id="rId173" Type="http://schemas.openxmlformats.org/officeDocument/2006/relationships/ctrlProp" Target="../ctrlProps/ctrlProp170.xml"/><Relationship Id="rId229" Type="http://schemas.openxmlformats.org/officeDocument/2006/relationships/ctrlProp" Target="../ctrlProps/ctrlProp226.xml"/><Relationship Id="rId240" Type="http://schemas.openxmlformats.org/officeDocument/2006/relationships/ctrlProp" Target="../ctrlProps/ctrlProp237.xml"/><Relationship Id="rId35" Type="http://schemas.openxmlformats.org/officeDocument/2006/relationships/ctrlProp" Target="../ctrlProps/ctrlProp32.xml"/><Relationship Id="rId77" Type="http://schemas.openxmlformats.org/officeDocument/2006/relationships/ctrlProp" Target="../ctrlProps/ctrlProp74.xml"/><Relationship Id="rId100" Type="http://schemas.openxmlformats.org/officeDocument/2006/relationships/ctrlProp" Target="../ctrlProps/ctrlProp97.xml"/><Relationship Id="rId282" Type="http://schemas.openxmlformats.org/officeDocument/2006/relationships/ctrlProp" Target="../ctrlProps/ctrlProp279.xml"/><Relationship Id="rId338" Type="http://schemas.openxmlformats.org/officeDocument/2006/relationships/ctrlProp" Target="../ctrlProps/ctrlProp335.xml"/><Relationship Id="rId8" Type="http://schemas.openxmlformats.org/officeDocument/2006/relationships/ctrlProp" Target="../ctrlProps/ctrlProp5.xml"/><Relationship Id="rId142" Type="http://schemas.openxmlformats.org/officeDocument/2006/relationships/ctrlProp" Target="../ctrlProps/ctrlProp139.xml"/><Relationship Id="rId184" Type="http://schemas.openxmlformats.org/officeDocument/2006/relationships/ctrlProp" Target="../ctrlProps/ctrlProp18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vmlDrawing" Target="../drawings/vmlDrawing4.v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R164"/>
  <sheetViews>
    <sheetView tabSelected="1" zoomScale="145" zoomScaleNormal="145" zoomScaleSheetLayoutView="100" workbookViewId="0">
      <selection activeCell="B16" sqref="B16:E16"/>
    </sheetView>
  </sheetViews>
  <sheetFormatPr baseColWidth="10" defaultColWidth="11" defaultRowHeight="14.25" x14ac:dyDescent="0.2"/>
  <cols>
    <col min="1" max="1" width="3.75" style="6" customWidth="1"/>
    <col min="2" max="2" width="17.25" style="6" customWidth="1"/>
    <col min="3" max="3" width="17.125" style="6" customWidth="1"/>
    <col min="4" max="4" width="14.25" style="7" customWidth="1"/>
    <col min="5" max="5" width="11.25" style="6" customWidth="1"/>
    <col min="6" max="6" width="10.25" style="6" customWidth="1"/>
    <col min="7" max="7" width="11.125" style="6" customWidth="1"/>
    <col min="8" max="8" width="12.25" style="6" customWidth="1"/>
    <col min="9" max="9" width="16.25" style="6" customWidth="1"/>
    <col min="10" max="10" width="10.25" style="6" customWidth="1"/>
    <col min="11" max="11" width="10.75" style="6" customWidth="1"/>
    <col min="12" max="12" width="14.75" style="2" customWidth="1"/>
    <col min="13" max="13" width="86.75" style="2" customWidth="1"/>
    <col min="14" max="14" width="16.25" style="2" customWidth="1"/>
    <col min="15" max="15" width="11.625" style="2" customWidth="1"/>
    <col min="16" max="16384" width="11" style="2"/>
  </cols>
  <sheetData>
    <row r="1" spans="1:14" ht="14.25" customHeight="1" thickBot="1" x14ac:dyDescent="0.25">
      <c r="A1" s="680"/>
      <c r="B1" s="680"/>
      <c r="C1" s="680"/>
      <c r="D1" s="680"/>
      <c r="E1" s="680"/>
      <c r="F1" s="680"/>
      <c r="G1" s="680"/>
      <c r="H1" s="680"/>
      <c r="I1" s="680"/>
      <c r="J1" s="680"/>
      <c r="K1" s="680"/>
      <c r="L1" s="372" t="s">
        <v>1700</v>
      </c>
      <c r="M1" s="266"/>
    </row>
    <row r="2" spans="1:14" s="5" customFormat="1" ht="30" customHeight="1" thickBot="1" x14ac:dyDescent="0.25">
      <c r="A2" s="479" t="s">
        <v>744</v>
      </c>
      <c r="B2" s="480"/>
      <c r="C2" s="739" t="s">
        <v>1117</v>
      </c>
      <c r="D2" s="740"/>
      <c r="E2" s="735" t="s">
        <v>745</v>
      </c>
      <c r="F2" s="736"/>
      <c r="G2" s="741" t="s">
        <v>1802</v>
      </c>
      <c r="H2" s="742"/>
      <c r="I2" s="255" t="s">
        <v>746</v>
      </c>
      <c r="J2" s="455" t="s">
        <v>1551</v>
      </c>
      <c r="K2" s="466"/>
      <c r="L2" s="376"/>
      <c r="M2" s="266" t="s">
        <v>1798</v>
      </c>
    </row>
    <row r="3" spans="1:14" s="5" customFormat="1" ht="30" customHeight="1" thickBot="1" x14ac:dyDescent="0.25">
      <c r="A3" s="479" t="s">
        <v>749</v>
      </c>
      <c r="B3" s="480"/>
      <c r="C3" s="748"/>
      <c r="D3" s="749"/>
      <c r="E3" s="689" t="str">
        <f>IF(E7="SVTI","Auftragsnummer muss mit 2309xxxx beginnen",IF(E7="INAIL","Auftragsnummer muss mit 2309xxxx beginnen",IF(E7="CAN/CSA(N299)","Auftragsnummer muss mit 2309xxxx beginnen","")))</f>
        <v>Auftragsnummer muss mit 2309xxxx beginnen</v>
      </c>
      <c r="F3" s="690"/>
      <c r="G3" s="690"/>
      <c r="H3" s="691"/>
      <c r="I3" s="237" t="s">
        <v>751</v>
      </c>
      <c r="J3" s="692" t="s">
        <v>27</v>
      </c>
      <c r="K3" s="693"/>
      <c r="L3" s="376"/>
      <c r="M3" s="367" t="s">
        <v>1493</v>
      </c>
    </row>
    <row r="4" spans="1:14" s="5" customFormat="1" ht="30" customHeight="1" thickBot="1" x14ac:dyDescent="0.25">
      <c r="A4" s="479" t="s">
        <v>750</v>
      </c>
      <c r="B4" s="480"/>
      <c r="C4" s="696"/>
      <c r="D4" s="637"/>
      <c r="E4" s="737" t="s">
        <v>748</v>
      </c>
      <c r="F4" s="738"/>
      <c r="G4" s="697"/>
      <c r="H4" s="698"/>
      <c r="I4" s="239" t="s">
        <v>754</v>
      </c>
      <c r="J4" s="455" t="s">
        <v>1815</v>
      </c>
      <c r="K4" s="456"/>
      <c r="L4" s="376"/>
      <c r="M4" s="368" t="str">
        <f>IF(J3="E = Standard","Projektkategorie E=Keine oder nur maginale Abweichung zu entwickeltem Wandlermodell",IF(J3="A = Neuentwicklung","Projektkategorie A=Konstruktiv neu zu entwickelndes Modell",IF(J3="B = Produktentwicklung","Projektkategorie B=Konstruktiv neu zu entwickelndes Modell",IF(J3="C = Kundenadaption eigene","Projektkategorie C=Adaption zu entwickeltem Wandlermodell",IF(J3="D = Kundenadaption OEN","Projektkategorie D=Adaption zu entwickeltem Wandlermodell",IF(J3="F = Standard mit Typenprüfung","Projektkategorie F=Keine oder nur maginale Abweichung zu entwickeltem Wandlermodell",))))))</f>
        <v>Projektkategorie E=Keine oder nur maginale Abweichung zu entwickeltem Wandlermodell</v>
      </c>
    </row>
    <row r="5" spans="1:14" s="5" customFormat="1" ht="30" customHeight="1" thickBot="1" x14ac:dyDescent="0.25">
      <c r="A5" s="479" t="s">
        <v>755</v>
      </c>
      <c r="B5" s="480"/>
      <c r="C5" s="471" t="s">
        <v>969</v>
      </c>
      <c r="D5" s="472"/>
      <c r="E5" s="694" t="s">
        <v>756</v>
      </c>
      <c r="F5" s="695"/>
      <c r="G5" s="471" t="s">
        <v>1818</v>
      </c>
      <c r="H5" s="622"/>
      <c r="I5" s="562" t="str">
        <f>VLOOKUP($G$5,Modellliste!A1:K457,11,0)</f>
        <v>SAS 420 TERNA Type B</v>
      </c>
      <c r="J5" s="772"/>
      <c r="K5" s="772"/>
      <c r="L5" s="376"/>
      <c r="M5" s="368" t="str">
        <f>IF(J3="E = Standard","Projektkategorie E=Keine Risikoanalyse erforderlich",IF(J3="A = Neuentwicklung","Projektkategorie A=Risikoanalyse erforderlich",IF(J3="B = Produktentwicklung","Projektkategorie B=Risikoanalyse erforderlich",IF(J3="C = Kundenadaption eigene","Projektkategorie C=Abwägung ob Risikoanalyse erdorderlich",IF(J3="D = Kundenadaption OEN","Projektkategorie D=Abwägung ob Risikoanalyse erforderlich",IF(J3="F = Standard mit Typenprüfung","Projektkategorie F=Keine Risikoanalyse erforderlich",))))))</f>
        <v>Projektkategorie E=Keine Risikoanalyse erforderlich</v>
      </c>
    </row>
    <row r="6" spans="1:14" s="5" customFormat="1" ht="30" customHeight="1" thickBot="1" x14ac:dyDescent="0.3">
      <c r="A6" s="479" t="s">
        <v>1541</v>
      </c>
      <c r="B6" s="480"/>
      <c r="C6" s="750" t="s">
        <v>1841</v>
      </c>
      <c r="D6" s="751"/>
      <c r="E6" s="751"/>
      <c r="F6" s="751"/>
      <c r="G6" s="751"/>
      <c r="H6" s="751"/>
      <c r="I6" s="751"/>
      <c r="J6" s="751"/>
      <c r="K6" s="751"/>
      <c r="L6" s="376"/>
      <c r="M6" s="369" t="s">
        <v>1539</v>
      </c>
    </row>
    <row r="7" spans="1:14" s="5" customFormat="1" ht="30" customHeight="1" thickBot="1" x14ac:dyDescent="0.3">
      <c r="A7" s="699" t="s">
        <v>1786</v>
      </c>
      <c r="B7" s="585"/>
      <c r="C7" s="585"/>
      <c r="D7" s="586"/>
      <c r="E7" s="451" t="s">
        <v>747</v>
      </c>
      <c r="F7" s="452"/>
      <c r="G7" s="754" t="str">
        <f>IF(E7="SVTI","Alle Hüllenteile müssen SVTI zertifiziert sein",IF(E7="INAIL","Alle Hüllenteile müssen INAIL zertifiziert sein",""))</f>
        <v>Alle Hüllenteile müssen INAIL zertifiziert sein</v>
      </c>
      <c r="H7" s="755"/>
      <c r="I7" s="755"/>
      <c r="J7" s="755"/>
      <c r="K7" s="755"/>
      <c r="L7" s="376"/>
      <c r="M7" s="370"/>
    </row>
    <row r="8" spans="1:14" s="5" customFormat="1" ht="30" customHeight="1" thickBot="1" x14ac:dyDescent="0.3">
      <c r="A8" s="426" t="s">
        <v>1528</v>
      </c>
      <c r="B8" s="449"/>
      <c r="C8" s="449"/>
      <c r="D8" s="450"/>
      <c r="E8" s="451" t="s">
        <v>1814</v>
      </c>
      <c r="F8" s="452"/>
      <c r="G8" s="453" t="str">
        <f>IF(J2="Italy","&lt;&lt;&lt; Certificationnumber has to be filled out from Sales if the Product will installed in Italy; If no number available Trench Germany has to make a new certificate",FALSE)</f>
        <v>&lt;&lt;&lt; Certificationnumber has to be filled out from Sales if the Product will installed in Italy; If no number available Trench Germany has to make a new certificate</v>
      </c>
      <c r="H8" s="454"/>
      <c r="I8" s="454"/>
      <c r="J8" s="454"/>
      <c r="K8" s="454"/>
      <c r="L8" s="376"/>
      <c r="M8" s="371" t="s">
        <v>1540</v>
      </c>
    </row>
    <row r="9" spans="1:14" s="5" customFormat="1" ht="12" customHeight="1" thickBot="1" x14ac:dyDescent="0.25">
      <c r="A9" s="752"/>
      <c r="B9" s="753"/>
      <c r="C9" s="753"/>
      <c r="D9" s="753"/>
      <c r="E9" s="753"/>
      <c r="F9" s="753"/>
      <c r="G9" s="753"/>
      <c r="H9" s="753"/>
      <c r="I9" s="753"/>
      <c r="J9" s="753"/>
      <c r="K9" s="753"/>
      <c r="L9" s="376"/>
      <c r="M9" s="483"/>
    </row>
    <row r="10" spans="1:14" s="1" customFormat="1" ht="0.6" customHeight="1" thickTop="1" thickBot="1" x14ac:dyDescent="0.25">
      <c r="A10" s="506"/>
      <c r="B10" s="507"/>
      <c r="C10" s="508"/>
      <c r="D10" s="504"/>
      <c r="E10" s="505"/>
      <c r="F10" s="127"/>
      <c r="G10" s="481" t="s">
        <v>310</v>
      </c>
      <c r="H10" s="482"/>
      <c r="I10" s="482"/>
      <c r="J10" s="482"/>
      <c r="K10" s="482"/>
      <c r="L10" s="377"/>
      <c r="M10" s="484"/>
    </row>
    <row r="11" spans="1:14" s="10" customFormat="1" ht="15.75" customHeight="1" thickTop="1" thickBot="1" x14ac:dyDescent="0.25">
      <c r="A11" s="233" t="s">
        <v>13</v>
      </c>
      <c r="B11" s="513" t="s">
        <v>1696</v>
      </c>
      <c r="C11" s="518"/>
      <c r="D11" s="518"/>
      <c r="E11" s="515"/>
      <c r="F11" s="513" t="s">
        <v>1695</v>
      </c>
      <c r="G11" s="515"/>
      <c r="H11" s="352" t="s">
        <v>1697</v>
      </c>
      <c r="I11" s="513" t="s">
        <v>1698</v>
      </c>
      <c r="J11" s="514"/>
      <c r="K11" s="355" t="s">
        <v>1697</v>
      </c>
      <c r="L11" s="378"/>
      <c r="M11" s="485"/>
      <c r="N11" s="177"/>
    </row>
    <row r="12" spans="1:14" s="78" customFormat="1" ht="12.75" x14ac:dyDescent="0.2">
      <c r="A12" s="79">
        <v>0</v>
      </c>
      <c r="B12" s="516" t="s">
        <v>758</v>
      </c>
      <c r="C12" s="516"/>
      <c r="D12" s="516"/>
      <c r="E12" s="516"/>
      <c r="F12" s="511" t="s">
        <v>1813</v>
      </c>
      <c r="G12" s="512"/>
      <c r="H12" s="331">
        <v>45401</v>
      </c>
      <c r="I12" s="511" t="s">
        <v>1842</v>
      </c>
      <c r="J12" s="512"/>
      <c r="K12" s="331">
        <v>45401</v>
      </c>
      <c r="L12" s="379"/>
      <c r="M12" s="290"/>
    </row>
    <row r="13" spans="1:14" s="78" customFormat="1" ht="31.5" customHeight="1" x14ac:dyDescent="0.2">
      <c r="A13" s="79">
        <f>IF(B13="","",A12+1)</f>
        <v>1</v>
      </c>
      <c r="B13" s="519" t="s">
        <v>1847</v>
      </c>
      <c r="C13" s="520"/>
      <c r="D13" s="520"/>
      <c r="E13" s="521"/>
      <c r="F13" s="511" t="s">
        <v>1848</v>
      </c>
      <c r="G13" s="512"/>
      <c r="H13" s="331">
        <v>45588</v>
      </c>
      <c r="I13" s="511"/>
      <c r="J13" s="512"/>
      <c r="K13" s="331"/>
      <c r="L13" s="379"/>
      <c r="M13" s="290"/>
    </row>
    <row r="14" spans="1:14" s="78" customFormat="1" ht="12.75" x14ac:dyDescent="0.2">
      <c r="A14" s="79" t="str">
        <f t="shared" ref="A14:A17" si="0">IF(B14="","",A13+1)</f>
        <v/>
      </c>
      <c r="B14" s="511"/>
      <c r="C14" s="517"/>
      <c r="D14" s="517"/>
      <c r="E14" s="512"/>
      <c r="F14" s="511"/>
      <c r="G14" s="512"/>
      <c r="H14" s="331"/>
      <c r="I14" s="511"/>
      <c r="J14" s="512"/>
      <c r="K14" s="331"/>
      <c r="L14" s="379"/>
      <c r="M14" s="290"/>
    </row>
    <row r="15" spans="1:14" s="78" customFormat="1" ht="12.75" x14ac:dyDescent="0.2">
      <c r="A15" s="79" t="str">
        <f t="shared" si="0"/>
        <v/>
      </c>
      <c r="B15" s="511"/>
      <c r="C15" s="517"/>
      <c r="D15" s="517"/>
      <c r="E15" s="512"/>
      <c r="F15" s="511"/>
      <c r="G15" s="512"/>
      <c r="H15" s="331"/>
      <c r="I15" s="511"/>
      <c r="J15" s="512"/>
      <c r="K15" s="331"/>
      <c r="L15" s="379"/>
      <c r="M15" s="290"/>
    </row>
    <row r="16" spans="1:14" s="78" customFormat="1" ht="12.75" x14ac:dyDescent="0.2">
      <c r="A16" s="79" t="str">
        <f>IF(B16="","",A15+1)</f>
        <v/>
      </c>
      <c r="B16" s="511"/>
      <c r="C16" s="517"/>
      <c r="D16" s="517"/>
      <c r="E16" s="512"/>
      <c r="F16" s="511"/>
      <c r="G16" s="512"/>
      <c r="H16" s="331"/>
      <c r="I16" s="511"/>
      <c r="J16" s="512"/>
      <c r="K16" s="331"/>
      <c r="L16" s="379"/>
      <c r="M16" s="290"/>
    </row>
    <row r="17" spans="1:14" s="78" customFormat="1" ht="13.5" thickBot="1" x14ac:dyDescent="0.25">
      <c r="A17" s="80" t="str">
        <f t="shared" si="0"/>
        <v/>
      </c>
      <c r="B17" s="457"/>
      <c r="C17" s="459"/>
      <c r="D17" s="459"/>
      <c r="E17" s="458"/>
      <c r="F17" s="457"/>
      <c r="G17" s="458"/>
      <c r="H17" s="332"/>
      <c r="I17" s="457"/>
      <c r="J17" s="458"/>
      <c r="K17" s="332"/>
      <c r="L17" s="379"/>
      <c r="M17" s="290"/>
    </row>
    <row r="18" spans="1:14" s="78" customFormat="1" ht="15" customHeight="1" thickBot="1" x14ac:dyDescent="0.25">
      <c r="A18" s="764" t="s">
        <v>1699</v>
      </c>
      <c r="B18" s="765"/>
      <c r="C18" s="743" t="s">
        <v>1784</v>
      </c>
      <c r="D18" s="744"/>
      <c r="E18" s="745"/>
      <c r="F18" s="706" t="s">
        <v>1849</v>
      </c>
      <c r="G18" s="707"/>
      <c r="H18" s="353">
        <v>45401</v>
      </c>
      <c r="I18" s="354"/>
      <c r="J18" s="354"/>
      <c r="K18" s="354"/>
      <c r="L18" s="379"/>
      <c r="M18" s="290"/>
    </row>
    <row r="19" spans="1:14" s="5" customFormat="1" ht="12" customHeight="1" thickBot="1" x14ac:dyDescent="0.25">
      <c r="A19" s="460"/>
      <c r="B19" s="461"/>
      <c r="C19" s="461"/>
      <c r="D19" s="461"/>
      <c r="E19" s="461"/>
      <c r="F19" s="462"/>
      <c r="G19" s="462"/>
      <c r="H19" s="462"/>
      <c r="I19" s="462"/>
      <c r="J19" s="462"/>
      <c r="K19" s="462"/>
      <c r="L19" s="376"/>
      <c r="M19" s="290"/>
    </row>
    <row r="20" spans="1:14" s="5" customFormat="1" ht="30" customHeight="1" thickBot="1" x14ac:dyDescent="0.25">
      <c r="A20" s="479" t="s">
        <v>615</v>
      </c>
      <c r="B20" s="480"/>
      <c r="C20" s="700"/>
      <c r="D20" s="701"/>
      <c r="E20" s="702" t="s">
        <v>1110</v>
      </c>
      <c r="F20" s="703"/>
      <c r="G20" s="700">
        <v>68064</v>
      </c>
      <c r="H20" s="701"/>
      <c r="I20" s="243" t="s">
        <v>774</v>
      </c>
      <c r="J20" s="700"/>
      <c r="K20" s="785"/>
      <c r="L20" s="376"/>
      <c r="M20" s="266"/>
    </row>
    <row r="21" spans="1:14" s="5" customFormat="1" ht="12" customHeight="1" thickBot="1" x14ac:dyDescent="0.25">
      <c r="A21" s="522"/>
      <c r="B21" s="462"/>
      <c r="C21" s="462"/>
      <c r="D21" s="462"/>
      <c r="E21" s="462"/>
      <c r="F21" s="462"/>
      <c r="G21" s="462"/>
      <c r="H21" s="462"/>
      <c r="I21" s="462"/>
      <c r="J21" s="462"/>
      <c r="K21" s="462"/>
      <c r="L21" s="376"/>
      <c r="M21" s="288"/>
    </row>
    <row r="22" spans="1:14" s="5" customFormat="1" ht="30" customHeight="1" thickBot="1" x14ac:dyDescent="0.25">
      <c r="A22" s="523" t="s">
        <v>761</v>
      </c>
      <c r="B22" s="524"/>
      <c r="C22" s="536"/>
      <c r="D22" s="537"/>
      <c r="E22" s="531" t="s">
        <v>760</v>
      </c>
      <c r="F22" s="532"/>
      <c r="G22" s="538" t="s">
        <v>1495</v>
      </c>
      <c r="H22" s="539"/>
      <c r="I22" s="337" t="s">
        <v>1111</v>
      </c>
      <c r="J22" s="527" t="str">
        <f>VLOOKUP(G$5,Modellliste!A2:K1036,2,0)</f>
        <v>CTG420-040-0240</v>
      </c>
      <c r="K22" s="528"/>
      <c r="L22" s="376"/>
      <c r="M22" s="290"/>
    </row>
    <row r="23" spans="1:14" s="5" customFormat="1" ht="30" customHeight="1" thickBot="1" x14ac:dyDescent="0.25">
      <c r="A23" s="479" t="s">
        <v>763</v>
      </c>
      <c r="B23" s="480"/>
      <c r="C23" s="256" t="s">
        <v>762</v>
      </c>
      <c r="D23" s="245">
        <v>420</v>
      </c>
      <c r="E23" s="737" t="s">
        <v>1507</v>
      </c>
      <c r="F23" s="738"/>
      <c r="G23" s="768">
        <v>50</v>
      </c>
      <c r="H23" s="769"/>
      <c r="I23" s="252" t="s">
        <v>764</v>
      </c>
      <c r="J23" s="540">
        <v>1000</v>
      </c>
      <c r="K23" s="541"/>
      <c r="L23" s="376"/>
      <c r="M23" s="290"/>
    </row>
    <row r="24" spans="1:14" s="5" customFormat="1" ht="40.15" customHeight="1" thickBot="1" x14ac:dyDescent="0.25">
      <c r="A24" s="479" t="s">
        <v>765</v>
      </c>
      <c r="B24" s="480"/>
      <c r="C24" s="257" t="s">
        <v>41</v>
      </c>
      <c r="D24" s="245" t="s">
        <v>1803</v>
      </c>
      <c r="E24" s="531" t="s">
        <v>766</v>
      </c>
      <c r="F24" s="532"/>
      <c r="G24" s="728">
        <v>680</v>
      </c>
      <c r="H24" s="729"/>
      <c r="I24" s="300" t="s">
        <v>1148</v>
      </c>
      <c r="J24" s="525" t="s">
        <v>1804</v>
      </c>
      <c r="K24" s="526"/>
      <c r="L24" s="380"/>
      <c r="M24" s="290"/>
      <c r="N24" s="2"/>
    </row>
    <row r="25" spans="1:14" s="5" customFormat="1" ht="40.15" customHeight="1" thickBot="1" x14ac:dyDescent="0.25">
      <c r="A25" s="479" t="s">
        <v>769</v>
      </c>
      <c r="B25" s="480"/>
      <c r="C25" s="733"/>
      <c r="D25" s="734"/>
      <c r="E25" s="531" t="s">
        <v>770</v>
      </c>
      <c r="F25" s="532"/>
      <c r="G25" s="733">
        <v>3</v>
      </c>
      <c r="H25" s="734"/>
      <c r="I25" s="239" t="s">
        <v>1509</v>
      </c>
      <c r="J25" s="467" t="s">
        <v>4</v>
      </c>
      <c r="K25" s="468"/>
      <c r="L25" s="380"/>
      <c r="M25" s="290"/>
      <c r="N25" s="2"/>
    </row>
    <row r="26" spans="1:14" s="5" customFormat="1" ht="40.15" customHeight="1" thickBot="1" x14ac:dyDescent="0.25">
      <c r="A26" s="479" t="s">
        <v>767</v>
      </c>
      <c r="B26" s="480"/>
      <c r="C26" s="730" t="s">
        <v>1805</v>
      </c>
      <c r="D26" s="731"/>
      <c r="E26" s="529" t="s">
        <v>768</v>
      </c>
      <c r="F26" s="530"/>
      <c r="G26" s="732" t="s">
        <v>1806</v>
      </c>
      <c r="H26" s="731"/>
      <c r="I26" s="239" t="s">
        <v>771</v>
      </c>
      <c r="J26" s="455" t="s">
        <v>1807</v>
      </c>
      <c r="K26" s="456"/>
      <c r="L26" s="376"/>
      <c r="M26" s="290"/>
    </row>
    <row r="27" spans="1:14" s="5" customFormat="1" ht="40.15" customHeight="1" thickBot="1" x14ac:dyDescent="0.25">
      <c r="A27" s="479" t="s">
        <v>773</v>
      </c>
      <c r="B27" s="480"/>
      <c r="C27" s="502" t="s">
        <v>1579</v>
      </c>
      <c r="D27" s="503"/>
      <c r="E27" s="479" t="s">
        <v>772</v>
      </c>
      <c r="F27" s="480"/>
      <c r="G27" s="746" t="str">
        <f>IF(VLOOKUP(C27,Auswahlfelder!B19:C27,2,FALSE)=0,"",VLOOKUP(C27,Auswahlfelder!B19:C27,2,FALSE))</f>
        <v>43,3 (25) [RUSCD(SCD)]</v>
      </c>
      <c r="H27" s="747"/>
      <c r="I27" s="246" t="s">
        <v>775</v>
      </c>
      <c r="J27" s="708">
        <v>15750</v>
      </c>
      <c r="K27" s="709"/>
      <c r="L27" s="376"/>
      <c r="M27" s="290"/>
    </row>
    <row r="28" spans="1:14" s="5" customFormat="1" ht="40.15" customHeight="1" thickBot="1" x14ac:dyDescent="0.25">
      <c r="A28" s="479" t="s">
        <v>1501</v>
      </c>
      <c r="B28" s="480"/>
      <c r="C28" s="373" t="s">
        <v>1701</v>
      </c>
      <c r="D28" s="542" t="s">
        <v>1416</v>
      </c>
      <c r="E28" s="543"/>
      <c r="F28" s="544"/>
      <c r="G28" s="479" t="s">
        <v>776</v>
      </c>
      <c r="H28" s="480"/>
      <c r="I28" s="465" t="s">
        <v>1129</v>
      </c>
      <c r="J28" s="466"/>
      <c r="K28" s="466"/>
      <c r="L28" s="380"/>
      <c r="M28" s="266"/>
      <c r="N28" s="2"/>
    </row>
    <row r="29" spans="1:14" s="5" customFormat="1" ht="98.25" customHeight="1" thickBot="1" x14ac:dyDescent="0.25">
      <c r="A29" s="479" t="s">
        <v>1099</v>
      </c>
      <c r="B29" s="480"/>
      <c r="C29" s="704" t="s">
        <v>1844</v>
      </c>
      <c r="D29" s="705"/>
      <c r="E29" s="705"/>
      <c r="F29" s="705"/>
      <c r="G29" s="705"/>
      <c r="H29" s="705"/>
      <c r="I29" s="705"/>
      <c r="J29" s="705"/>
      <c r="K29" s="705"/>
      <c r="L29" s="380"/>
      <c r="M29" s="288"/>
      <c r="N29" s="2"/>
    </row>
    <row r="30" spans="1:14" s="5" customFormat="1" ht="15.75" customHeight="1" thickBot="1" x14ac:dyDescent="0.25">
      <c r="A30" s="473" t="e">
        <f>IF(D23&lt;&gt;[2]Auswahlfelder!C2,"Achtung!Bezeichnung Typenschild abweichend!","")</f>
        <v>#N/A</v>
      </c>
      <c r="B30" s="474"/>
      <c r="C30" s="474"/>
      <c r="D30" s="474"/>
      <c r="E30" s="474"/>
      <c r="F30" s="474"/>
      <c r="G30" s="474"/>
      <c r="H30" s="474"/>
      <c r="I30" s="475"/>
      <c r="J30" s="475"/>
      <c r="K30" s="476"/>
      <c r="L30" s="376"/>
      <c r="M30" s="288"/>
    </row>
    <row r="31" spans="1:14" s="5" customFormat="1" ht="15" thickBot="1" x14ac:dyDescent="0.25">
      <c r="A31" s="477" t="str">
        <f>IF(D23&gt;=Auswahlfelder!C2+4,"Achtung! Umax des ausgewählten Produkts passt nicht mit der ausgewählten Betriebsspannung zusammen!","")</f>
        <v/>
      </c>
      <c r="B31" s="478"/>
      <c r="C31" s="478"/>
      <c r="D31" s="478"/>
      <c r="E31" s="478"/>
      <c r="F31" s="478"/>
      <c r="G31" s="478"/>
      <c r="H31" s="478"/>
      <c r="I31" s="478"/>
      <c r="J31" s="478"/>
      <c r="K31" s="478"/>
      <c r="L31" s="376"/>
      <c r="M31" s="288"/>
    </row>
    <row r="32" spans="1:14" s="5" customFormat="1" ht="15" thickBot="1" x14ac:dyDescent="0.25">
      <c r="A32" s="477" t="str">
        <f>IF(C2="HQ","Es müssen Flour Silikon Dichtungen verwendet werden!",IF(G2="HQ","Es müsen Flour Silikon Dichtungen verwendet werden!",""))</f>
        <v/>
      </c>
      <c r="B32" s="478"/>
      <c r="C32" s="478"/>
      <c r="D32" s="478"/>
      <c r="E32" s="478"/>
      <c r="F32" s="478"/>
      <c r="G32" s="478"/>
      <c r="H32" s="478"/>
      <c r="I32" s="478"/>
      <c r="J32" s="478"/>
      <c r="K32" s="478"/>
      <c r="L32" s="381"/>
      <c r="M32" s="288"/>
      <c r="N32" s="184"/>
    </row>
    <row r="33" spans="1:14" s="5" customFormat="1" ht="15" thickBot="1" x14ac:dyDescent="0.25">
      <c r="A33" s="477"/>
      <c r="B33" s="478"/>
      <c r="C33" s="478"/>
      <c r="D33" s="478"/>
      <c r="E33" s="478"/>
      <c r="F33" s="478"/>
      <c r="G33" s="478"/>
      <c r="H33" s="478"/>
      <c r="I33" s="478"/>
      <c r="J33" s="478"/>
      <c r="K33" s="478"/>
      <c r="L33" s="376"/>
      <c r="M33" s="288"/>
    </row>
    <row r="34" spans="1:14" s="5" customFormat="1" ht="12" customHeight="1" thickBot="1" x14ac:dyDescent="0.25">
      <c r="A34" s="469"/>
      <c r="B34" s="470"/>
      <c r="C34" s="470"/>
      <c r="D34" s="470"/>
      <c r="E34" s="470"/>
      <c r="F34" s="470"/>
      <c r="G34" s="470"/>
      <c r="H34" s="470"/>
      <c r="I34" s="470"/>
      <c r="J34" s="470"/>
      <c r="K34" s="470"/>
      <c r="L34" s="376"/>
      <c r="M34" s="288"/>
    </row>
    <row r="35" spans="1:14" s="5" customFormat="1" ht="24" customHeight="1" thickBot="1" x14ac:dyDescent="0.25">
      <c r="A35" s="463" t="s">
        <v>735</v>
      </c>
      <c r="B35" s="533"/>
      <c r="C35" s="533"/>
      <c r="D35" s="533"/>
      <c r="E35" s="534"/>
      <c r="F35" s="535"/>
      <c r="G35" s="463" t="s">
        <v>665</v>
      </c>
      <c r="H35" s="464"/>
      <c r="I35" s="464"/>
      <c r="J35" s="464"/>
      <c r="K35" s="464"/>
      <c r="L35" s="376"/>
      <c r="M35" s="288"/>
    </row>
    <row r="36" spans="1:14" s="5" customFormat="1" ht="24" customHeight="1" thickBot="1" x14ac:dyDescent="0.25">
      <c r="A36" s="447" t="s">
        <v>734</v>
      </c>
      <c r="B36" s="427"/>
      <c r="C36" s="427"/>
      <c r="D36" s="428"/>
      <c r="E36" s="471" t="s">
        <v>557</v>
      </c>
      <c r="F36" s="472"/>
      <c r="G36" s="500"/>
      <c r="H36" s="501"/>
      <c r="I36" s="501"/>
      <c r="J36" s="501"/>
      <c r="K36" s="501"/>
      <c r="L36" s="376"/>
      <c r="M36" s="288"/>
    </row>
    <row r="37" spans="1:14" s="5" customFormat="1" ht="24" customHeight="1" thickBot="1" x14ac:dyDescent="0.25">
      <c r="A37" s="447" t="s">
        <v>736</v>
      </c>
      <c r="B37" s="427"/>
      <c r="C37" s="427"/>
      <c r="D37" s="428"/>
      <c r="E37" s="471" t="s">
        <v>556</v>
      </c>
      <c r="F37" s="472"/>
      <c r="G37" s="500"/>
      <c r="H37" s="501"/>
      <c r="I37" s="501"/>
      <c r="J37" s="501"/>
      <c r="K37" s="501"/>
      <c r="L37" s="376"/>
      <c r="M37" s="288"/>
    </row>
    <row r="38" spans="1:14" s="5" customFormat="1" ht="24" customHeight="1" thickBot="1" x14ac:dyDescent="0.25">
      <c r="A38" s="447" t="s">
        <v>738</v>
      </c>
      <c r="B38" s="427"/>
      <c r="C38" s="427"/>
      <c r="D38" s="428"/>
      <c r="E38" s="471" t="s">
        <v>557</v>
      </c>
      <c r="F38" s="472"/>
      <c r="G38" s="500"/>
      <c r="H38" s="501"/>
      <c r="I38" s="501"/>
      <c r="J38" s="501"/>
      <c r="K38" s="501"/>
      <c r="L38" s="376"/>
      <c r="M38" s="288"/>
    </row>
    <row r="39" spans="1:14" s="5" customFormat="1" ht="24" customHeight="1" thickBot="1" x14ac:dyDescent="0.25">
      <c r="A39" s="447" t="s">
        <v>739</v>
      </c>
      <c r="B39" s="427"/>
      <c r="C39" s="427"/>
      <c r="D39" s="428"/>
      <c r="E39" s="471" t="s">
        <v>557</v>
      </c>
      <c r="F39" s="472"/>
      <c r="G39" s="500"/>
      <c r="H39" s="501"/>
      <c r="I39" s="501"/>
      <c r="J39" s="501"/>
      <c r="K39" s="501"/>
      <c r="L39" s="376"/>
      <c r="M39" s="288"/>
    </row>
    <row r="40" spans="1:14" s="5" customFormat="1" ht="24" customHeight="1" thickBot="1" x14ac:dyDescent="0.25">
      <c r="A40" s="447" t="s">
        <v>737</v>
      </c>
      <c r="B40" s="427"/>
      <c r="C40" s="427"/>
      <c r="D40" s="428"/>
      <c r="E40" s="471" t="s">
        <v>557</v>
      </c>
      <c r="F40" s="472"/>
      <c r="G40" s="500"/>
      <c r="H40" s="501"/>
      <c r="I40" s="501"/>
      <c r="J40" s="501"/>
      <c r="K40" s="501"/>
      <c r="L40" s="376"/>
      <c r="M40" s="288"/>
    </row>
    <row r="41" spans="1:14" s="5" customFormat="1" ht="24" customHeight="1" thickBot="1" x14ac:dyDescent="0.25">
      <c r="A41" s="447" t="s">
        <v>741</v>
      </c>
      <c r="B41" s="427"/>
      <c r="C41" s="427"/>
      <c r="D41" s="428"/>
      <c r="E41" s="471" t="s">
        <v>557</v>
      </c>
      <c r="F41" s="472"/>
      <c r="G41" s="500"/>
      <c r="H41" s="501"/>
      <c r="I41" s="501"/>
      <c r="J41" s="501"/>
      <c r="K41" s="501"/>
      <c r="L41" s="376"/>
      <c r="M41" s="288"/>
    </row>
    <row r="42" spans="1:14" s="5" customFormat="1" ht="24" customHeight="1" thickBot="1" x14ac:dyDescent="0.25">
      <c r="A42" s="447" t="s">
        <v>742</v>
      </c>
      <c r="B42" s="427"/>
      <c r="C42" s="427"/>
      <c r="D42" s="428"/>
      <c r="E42" s="471" t="s">
        <v>556</v>
      </c>
      <c r="F42" s="472"/>
      <c r="G42" s="500"/>
      <c r="H42" s="501"/>
      <c r="I42" s="501"/>
      <c r="J42" s="501"/>
      <c r="K42" s="501"/>
      <c r="L42" s="376"/>
      <c r="M42" s="288"/>
    </row>
    <row r="43" spans="1:14" ht="24" customHeight="1" thickBot="1" x14ac:dyDescent="0.25">
      <c r="A43" s="447" t="s">
        <v>1113</v>
      </c>
      <c r="B43" s="427"/>
      <c r="C43" s="427"/>
      <c r="D43" s="428"/>
      <c r="E43" s="471" t="s">
        <v>557</v>
      </c>
      <c r="F43" s="472"/>
      <c r="G43" s="500"/>
      <c r="H43" s="501"/>
      <c r="I43" s="501"/>
      <c r="J43" s="501"/>
      <c r="K43" s="501"/>
      <c r="L43" s="380"/>
      <c r="M43" s="266"/>
    </row>
    <row r="44" spans="1:14" ht="24" customHeight="1" thickBot="1" x14ac:dyDescent="0.25">
      <c r="A44" s="447" t="s">
        <v>1114</v>
      </c>
      <c r="B44" s="427"/>
      <c r="C44" s="427"/>
      <c r="D44" s="428"/>
      <c r="E44" s="471" t="s">
        <v>557</v>
      </c>
      <c r="F44" s="472" t="e" cm="1" vm="1">
        <f t="array" aca="1" ref="F44" ca="1">IF('DB GIF'!J27=0,"-",'DB GIF'!J27:K27)</f>
        <v>#VALUE!</v>
      </c>
      <c r="G44" s="500"/>
      <c r="H44" s="501"/>
      <c r="I44" s="501"/>
      <c r="J44" s="501"/>
      <c r="K44" s="501"/>
      <c r="L44" s="380"/>
      <c r="M44" s="266"/>
    </row>
    <row r="45" spans="1:14" ht="107.25" customHeight="1" thickBot="1" x14ac:dyDescent="0.25">
      <c r="A45" s="426" t="s">
        <v>1115</v>
      </c>
      <c r="B45" s="490"/>
      <c r="C45" s="490"/>
      <c r="D45" s="491"/>
      <c r="E45" s="471" t="s">
        <v>556</v>
      </c>
      <c r="F45" s="472"/>
      <c r="G45" s="804" t="s">
        <v>1836</v>
      </c>
      <c r="H45" s="805"/>
      <c r="I45" s="805"/>
      <c r="J45" s="805"/>
      <c r="K45" s="805"/>
      <c r="L45" s="380"/>
      <c r="M45" s="288"/>
    </row>
    <row r="46" spans="1:14" s="5" customFormat="1" ht="24" customHeight="1" thickBot="1" x14ac:dyDescent="0.25">
      <c r="A46" s="486" t="s">
        <v>740</v>
      </c>
      <c r="B46" s="487"/>
      <c r="C46" s="259" t="s">
        <v>557</v>
      </c>
      <c r="D46" s="261"/>
      <c r="E46" s="258" t="s">
        <v>780</v>
      </c>
      <c r="F46" s="260"/>
      <c r="G46" s="260"/>
      <c r="H46" s="260"/>
      <c r="I46" s="260"/>
      <c r="J46" s="260"/>
      <c r="K46" s="356"/>
      <c r="L46" s="380"/>
      <c r="M46" s="288"/>
      <c r="N46" s="2"/>
    </row>
    <row r="47" spans="1:14" s="5" customFormat="1" ht="24" customHeight="1" thickBot="1" x14ac:dyDescent="0.25">
      <c r="A47" s="488"/>
      <c r="B47" s="489"/>
      <c r="C47" s="422" t="s">
        <v>787</v>
      </c>
      <c r="D47" s="423"/>
      <c r="E47" s="258" t="s">
        <v>788</v>
      </c>
      <c r="F47" s="260"/>
      <c r="G47" s="260"/>
      <c r="H47" s="260"/>
      <c r="I47" s="260"/>
      <c r="J47" s="260"/>
      <c r="K47" s="356"/>
      <c r="L47" s="380"/>
      <c r="M47" s="288"/>
      <c r="N47" s="2"/>
    </row>
    <row r="48" spans="1:14" s="5" customFormat="1" ht="12" hidden="1" customHeight="1" thickBot="1" x14ac:dyDescent="0.25">
      <c r="A48" s="229"/>
      <c r="B48" s="230"/>
      <c r="C48" s="230"/>
      <c r="D48" s="230"/>
      <c r="E48" s="231"/>
      <c r="F48" s="231"/>
      <c r="G48" s="232"/>
      <c r="H48" s="232"/>
      <c r="I48" s="232"/>
      <c r="J48" s="232"/>
      <c r="K48" s="232"/>
      <c r="L48" s="376"/>
      <c r="M48" s="288"/>
    </row>
    <row r="49" spans="1:14" s="5" customFormat="1" ht="15.75" hidden="1" thickBot="1" x14ac:dyDescent="0.25">
      <c r="A49" s="710" t="s">
        <v>292</v>
      </c>
      <c r="B49" s="711"/>
      <c r="C49" s="711"/>
      <c r="D49" s="711"/>
      <c r="E49" s="711"/>
      <c r="F49" s="711"/>
      <c r="G49" s="711"/>
      <c r="H49" s="711"/>
      <c r="I49" s="711"/>
      <c r="J49" s="711"/>
      <c r="K49" s="711"/>
      <c r="L49" s="376"/>
      <c r="M49" s="288"/>
    </row>
    <row r="50" spans="1:14" s="10" customFormat="1" ht="15.6" hidden="1" customHeight="1" x14ac:dyDescent="0.2">
      <c r="A50" s="683"/>
      <c r="B50" s="684"/>
      <c r="C50" s="687"/>
      <c r="D50" s="644" t="s">
        <v>297</v>
      </c>
      <c r="E50" s="645"/>
      <c r="F50" s="645"/>
      <c r="G50" s="645"/>
      <c r="H50" s="645"/>
      <c r="I50" s="806"/>
      <c r="J50" s="176" t="s">
        <v>559</v>
      </c>
      <c r="K50" s="357"/>
      <c r="L50" s="382"/>
      <c r="M50" s="289"/>
    </row>
    <row r="51" spans="1:14" s="5" customFormat="1" ht="15.75" hidden="1" thickBot="1" x14ac:dyDescent="0.25">
      <c r="A51" s="685"/>
      <c r="B51" s="686"/>
      <c r="C51" s="688"/>
      <c r="D51" s="273" t="s">
        <v>293</v>
      </c>
      <c r="E51" s="273" t="s">
        <v>294</v>
      </c>
      <c r="F51" s="273" t="s">
        <v>295</v>
      </c>
      <c r="G51" s="273" t="s">
        <v>296</v>
      </c>
      <c r="H51" s="274" t="s">
        <v>311</v>
      </c>
      <c r="I51" s="275" t="s">
        <v>1</v>
      </c>
      <c r="J51" s="20"/>
      <c r="K51" s="20"/>
      <c r="L51" s="380"/>
      <c r="M51" s="288"/>
      <c r="N51" s="2"/>
    </row>
    <row r="52" spans="1:14" s="5" customFormat="1" ht="15" hidden="1" thickBot="1" x14ac:dyDescent="0.25">
      <c r="A52" s="674" t="s">
        <v>299</v>
      </c>
      <c r="B52" s="675"/>
      <c r="C52" s="174" t="s">
        <v>373</v>
      </c>
      <c r="D52" s="312"/>
      <c r="E52" s="312"/>
      <c r="F52" s="312"/>
      <c r="G52" s="312"/>
      <c r="H52" s="312"/>
      <c r="I52" s="313"/>
      <c r="J52" s="720"/>
      <c r="K52" s="721"/>
      <c r="L52" s="376"/>
      <c r="M52" s="289"/>
    </row>
    <row r="53" spans="1:14" s="5" customFormat="1" ht="15" hidden="1" x14ac:dyDescent="0.2">
      <c r="A53" s="667" t="s">
        <v>461</v>
      </c>
      <c r="B53" s="647"/>
      <c r="C53" s="76" t="s">
        <v>374</v>
      </c>
      <c r="D53" s="109"/>
      <c r="E53" s="109"/>
      <c r="F53" s="109"/>
      <c r="G53" s="172"/>
      <c r="H53" s="109"/>
      <c r="I53" s="172"/>
      <c r="J53" s="810"/>
      <c r="K53" s="811"/>
      <c r="L53" s="376"/>
      <c r="M53" s="289"/>
    </row>
    <row r="54" spans="1:14" s="10" customFormat="1" ht="11.25" hidden="1" customHeight="1" x14ac:dyDescent="0.2">
      <c r="A54" s="674" t="s">
        <v>302</v>
      </c>
      <c r="B54" s="675"/>
      <c r="C54" s="175" t="s">
        <v>298</v>
      </c>
      <c r="D54" s="302"/>
      <c r="E54" s="302"/>
      <c r="F54" s="302"/>
      <c r="G54" s="302"/>
      <c r="H54" s="302"/>
      <c r="I54" s="302"/>
      <c r="J54" s="812"/>
      <c r="K54" s="813"/>
      <c r="L54" s="382"/>
    </row>
    <row r="55" spans="1:14" s="5" customFormat="1" ht="15.75" hidden="1" thickBot="1" x14ac:dyDescent="0.25">
      <c r="A55" s="646" t="s">
        <v>556</v>
      </c>
      <c r="B55" s="647"/>
      <c r="C55" s="76" t="s">
        <v>374</v>
      </c>
      <c r="D55" s="116"/>
      <c r="E55" s="116"/>
      <c r="F55" s="116"/>
      <c r="G55" s="116"/>
      <c r="H55" s="116"/>
      <c r="I55" s="116"/>
      <c r="J55" s="814"/>
      <c r="K55" s="815"/>
      <c r="L55" s="376"/>
      <c r="M55" s="288"/>
    </row>
    <row r="56" spans="1:14" s="10" customFormat="1" ht="11.25" hidden="1" customHeight="1" x14ac:dyDescent="0.2">
      <c r="A56" s="674" t="s">
        <v>300</v>
      </c>
      <c r="B56" s="675"/>
      <c r="C56" s="175" t="s">
        <v>3</v>
      </c>
      <c r="D56" s="302"/>
      <c r="E56" s="302"/>
      <c r="F56" s="302"/>
      <c r="G56" s="302"/>
      <c r="H56" s="302"/>
      <c r="I56" s="302"/>
      <c r="J56" s="176" t="s">
        <v>394</v>
      </c>
      <c r="K56" s="357"/>
      <c r="L56" s="382"/>
      <c r="M56" s="289"/>
    </row>
    <row r="57" spans="1:14" s="5" customFormat="1" ht="15" hidden="1" x14ac:dyDescent="0.2">
      <c r="A57" s="646" t="s">
        <v>557</v>
      </c>
      <c r="B57" s="647"/>
      <c r="C57" s="76" t="s">
        <v>375</v>
      </c>
      <c r="D57" s="336"/>
      <c r="E57" s="336"/>
      <c r="F57" s="336"/>
      <c r="G57" s="336"/>
      <c r="H57" s="336"/>
      <c r="I57" s="336"/>
      <c r="J57" s="20"/>
      <c r="K57" s="20"/>
      <c r="L57" s="376"/>
      <c r="M57" s="288"/>
    </row>
    <row r="58" spans="1:14" s="10" customFormat="1" ht="11.25" hidden="1" customHeight="1" thickBot="1" x14ac:dyDescent="0.25">
      <c r="A58" s="674" t="s">
        <v>301</v>
      </c>
      <c r="B58" s="675"/>
      <c r="C58" s="175" t="s">
        <v>286</v>
      </c>
      <c r="D58" s="302"/>
      <c r="E58" s="302"/>
      <c r="F58" s="302"/>
      <c r="G58" s="302"/>
      <c r="H58" s="302"/>
      <c r="I58" s="302"/>
      <c r="J58" s="21"/>
      <c r="K58" s="21"/>
      <c r="L58" s="382"/>
      <c r="M58" s="289"/>
    </row>
    <row r="59" spans="1:14" s="5" customFormat="1" ht="15" hidden="1" x14ac:dyDescent="0.2">
      <c r="A59" s="646" t="s">
        <v>557</v>
      </c>
      <c r="B59" s="647"/>
      <c r="C59" s="76"/>
      <c r="D59" s="116"/>
      <c r="E59" s="116"/>
      <c r="F59" s="116"/>
      <c r="G59" s="116"/>
      <c r="H59" s="116"/>
      <c r="I59" s="116"/>
      <c r="J59" s="808"/>
      <c r="K59" s="809"/>
      <c r="L59" s="376"/>
      <c r="M59" s="288"/>
    </row>
    <row r="60" spans="1:14" s="10" customFormat="1" ht="17.25" hidden="1" customHeight="1" x14ac:dyDescent="0.2">
      <c r="A60" s="674" t="s">
        <v>303</v>
      </c>
      <c r="B60" s="675"/>
      <c r="C60" s="681" t="s">
        <v>1116</v>
      </c>
      <c r="D60" s="302"/>
      <c r="E60" s="302"/>
      <c r="F60" s="302"/>
      <c r="G60" s="302"/>
      <c r="H60" s="302"/>
      <c r="I60" s="302"/>
      <c r="J60" s="722"/>
      <c r="K60" s="723"/>
      <c r="L60" s="382"/>
      <c r="M60" s="289"/>
    </row>
    <row r="61" spans="1:14" s="5" customFormat="1" ht="15" hidden="1" customHeight="1" x14ac:dyDescent="0.2">
      <c r="A61" s="646"/>
      <c r="B61" s="647"/>
      <c r="C61" s="682"/>
      <c r="D61" s="116"/>
      <c r="E61" s="116"/>
      <c r="F61" s="116"/>
      <c r="G61" s="116"/>
      <c r="H61" s="116"/>
      <c r="I61" s="116"/>
      <c r="J61" s="724"/>
      <c r="K61" s="725"/>
      <c r="L61" s="382"/>
      <c r="M61" s="289"/>
      <c r="N61" s="10"/>
    </row>
    <row r="62" spans="1:14" s="10" customFormat="1" ht="11.25" hidden="1" customHeight="1" thickBot="1" x14ac:dyDescent="0.25">
      <c r="A62" s="671" t="s">
        <v>1791</v>
      </c>
      <c r="B62" s="672"/>
      <c r="C62" s="673"/>
      <c r="D62" s="429"/>
      <c r="E62" s="429"/>
      <c r="F62" s="429"/>
      <c r="G62" s="429"/>
      <c r="H62" s="429"/>
      <c r="I62" s="665"/>
      <c r="J62" s="724"/>
      <c r="K62" s="725"/>
      <c r="L62" s="382"/>
      <c r="M62" s="289"/>
    </row>
    <row r="63" spans="1:14" s="5" customFormat="1" ht="15" hidden="1" customHeight="1" thickBot="1" x14ac:dyDescent="0.25">
      <c r="A63" s="668" t="s">
        <v>1788</v>
      </c>
      <c r="B63" s="669"/>
      <c r="C63" s="670"/>
      <c r="D63" s="807"/>
      <c r="E63" s="430"/>
      <c r="F63" s="430"/>
      <c r="G63" s="430"/>
      <c r="H63" s="430"/>
      <c r="I63" s="666"/>
      <c r="J63" s="724"/>
      <c r="K63" s="725"/>
      <c r="L63" s="376"/>
      <c r="M63" s="288"/>
    </row>
    <row r="64" spans="1:14" s="10" customFormat="1" ht="11.25" hidden="1" customHeight="1" x14ac:dyDescent="0.2">
      <c r="A64" s="816" t="s">
        <v>1793</v>
      </c>
      <c r="B64" s="817"/>
      <c r="C64" s="818"/>
      <c r="D64" s="676" t="s">
        <v>1794</v>
      </c>
      <c r="E64" s="677"/>
      <c r="F64" s="648"/>
      <c r="G64" s="648"/>
      <c r="H64" s="648"/>
      <c r="I64" s="663"/>
      <c r="J64" s="724"/>
      <c r="K64" s="725"/>
      <c r="L64" s="382"/>
      <c r="M64" s="288"/>
    </row>
    <row r="65" spans="1:18" s="5" customFormat="1" ht="30.75" hidden="1" customHeight="1" x14ac:dyDescent="0.2">
      <c r="A65" s="819"/>
      <c r="B65" s="820"/>
      <c r="C65" s="821"/>
      <c r="D65" s="678"/>
      <c r="E65" s="679"/>
      <c r="F65" s="649"/>
      <c r="G65" s="649"/>
      <c r="H65" s="649"/>
      <c r="I65" s="664"/>
      <c r="J65" s="726"/>
      <c r="K65" s="727"/>
      <c r="L65" s="376"/>
      <c r="M65" s="288"/>
    </row>
    <row r="66" spans="1:18" s="5" customFormat="1" hidden="1" x14ac:dyDescent="0.2">
      <c r="A66" s="439" t="s">
        <v>616</v>
      </c>
      <c r="B66" s="440"/>
      <c r="C66" s="440"/>
      <c r="D66" s="440"/>
      <c r="E66" s="440"/>
      <c r="F66" s="440"/>
      <c r="G66" s="440"/>
      <c r="H66" s="440"/>
      <c r="I66" s="440"/>
      <c r="J66" s="440"/>
      <c r="K66" s="440"/>
      <c r="L66" s="376"/>
      <c r="M66" s="288"/>
    </row>
    <row r="67" spans="1:18" s="5" customFormat="1" ht="37.5" hidden="1" customHeight="1" thickBot="1" x14ac:dyDescent="0.25">
      <c r="A67" s="714"/>
      <c r="B67" s="715"/>
      <c r="C67" s="715"/>
      <c r="D67" s="715"/>
      <c r="E67" s="715"/>
      <c r="F67" s="715"/>
      <c r="G67" s="715"/>
      <c r="H67" s="715"/>
      <c r="I67" s="715"/>
      <c r="J67" s="715"/>
      <c r="K67" s="715"/>
      <c r="L67" s="376"/>
      <c r="M67" s="288"/>
    </row>
    <row r="68" spans="1:18" s="5" customFormat="1" ht="12" customHeight="1" thickBot="1" x14ac:dyDescent="0.25">
      <c r="A68" s="276"/>
      <c r="B68" s="277"/>
      <c r="C68" s="277"/>
      <c r="D68" s="277"/>
      <c r="E68" s="277"/>
      <c r="F68" s="277"/>
      <c r="G68" s="277"/>
      <c r="H68" s="277"/>
      <c r="I68" s="277"/>
      <c r="J68" s="277"/>
      <c r="K68" s="277"/>
      <c r="L68" s="376"/>
      <c r="M68" s="288"/>
    </row>
    <row r="69" spans="1:18" s="5" customFormat="1" ht="15.75" thickBot="1" x14ac:dyDescent="0.25">
      <c r="A69" s="710" t="s">
        <v>282</v>
      </c>
      <c r="B69" s="711"/>
      <c r="C69" s="711"/>
      <c r="D69" s="711"/>
      <c r="E69" s="711"/>
      <c r="F69" s="711"/>
      <c r="G69" s="711"/>
      <c r="H69" s="711"/>
      <c r="I69" s="711"/>
      <c r="J69" s="711"/>
      <c r="K69" s="711"/>
      <c r="L69" s="376"/>
      <c r="M69" s="288"/>
    </row>
    <row r="70" spans="1:18" s="10" customFormat="1" ht="15" customHeight="1" x14ac:dyDescent="0.2">
      <c r="A70" s="716" t="s">
        <v>290</v>
      </c>
      <c r="B70" s="717"/>
      <c r="C70" s="173"/>
      <c r="D70" s="644" t="s">
        <v>284</v>
      </c>
      <c r="E70" s="645"/>
      <c r="F70" s="645"/>
      <c r="G70" s="645"/>
      <c r="H70" s="645"/>
      <c r="I70" s="645"/>
      <c r="J70" s="645"/>
      <c r="K70" s="645"/>
      <c r="L70" s="382"/>
      <c r="M70" s="288"/>
    </row>
    <row r="71" spans="1:18" s="78" customFormat="1" x14ac:dyDescent="0.2">
      <c r="A71" s="718" t="s">
        <v>1843</v>
      </c>
      <c r="B71" s="719"/>
      <c r="C71" s="81"/>
      <c r="D71" s="275" t="s">
        <v>6</v>
      </c>
      <c r="E71" s="275" t="s">
        <v>7</v>
      </c>
      <c r="F71" s="275" t="s">
        <v>8</v>
      </c>
      <c r="G71" s="275" t="s">
        <v>9</v>
      </c>
      <c r="H71" s="275" t="s">
        <v>10</v>
      </c>
      <c r="I71" s="275" t="s">
        <v>12</v>
      </c>
      <c r="J71" s="275" t="s">
        <v>11</v>
      </c>
      <c r="K71" s="412"/>
      <c r="L71" s="379"/>
      <c r="M71" s="288"/>
    </row>
    <row r="72" spans="1:18" s="10" customFormat="1" ht="11.25" customHeight="1" x14ac:dyDescent="0.2">
      <c r="A72" s="303" t="s">
        <v>291</v>
      </c>
      <c r="B72" s="254"/>
      <c r="C72" s="174" t="s">
        <v>365</v>
      </c>
      <c r="D72" s="279"/>
      <c r="E72" s="279"/>
      <c r="F72" s="279"/>
      <c r="G72" s="279" t="str">
        <f>IFERROR(VLOOKUP(G73,'bedingte Auswahlfelder'!$N$2:$R$22,5,FALSE),"")</f>
        <v/>
      </c>
      <c r="H72" s="279" t="str">
        <f>IFERROR(VLOOKUP(H73,'bedingte Auswahlfelder'!$N$2:$R$22,5,FALSE),"")</f>
        <v/>
      </c>
      <c r="I72" s="279" t="str">
        <f>IFERROR(VLOOKUP(I73,'bedingte Auswahlfelder'!$N$2:$R$22,5,FALSE),"")</f>
        <v/>
      </c>
      <c r="J72" s="279"/>
      <c r="K72" s="655"/>
      <c r="L72" s="382"/>
      <c r="M72" s="289"/>
    </row>
    <row r="73" spans="1:18" s="78" customFormat="1" ht="12.75" x14ac:dyDescent="0.2">
      <c r="A73" s="659" t="s">
        <v>1808</v>
      </c>
      <c r="B73" s="660"/>
      <c r="C73" s="82" t="s">
        <v>324</v>
      </c>
      <c r="D73" s="83">
        <v>0.2</v>
      </c>
      <c r="E73" s="83">
        <v>0.2</v>
      </c>
      <c r="F73" s="83"/>
      <c r="G73" s="83"/>
      <c r="H73" s="83"/>
      <c r="I73" s="83"/>
      <c r="J73" s="83" t="s">
        <v>370</v>
      </c>
      <c r="K73" s="656"/>
      <c r="L73" s="379"/>
      <c r="M73" s="290"/>
    </row>
    <row r="74" spans="1:18" s="5" customFormat="1" x14ac:dyDescent="0.2">
      <c r="A74" s="439" t="s">
        <v>613</v>
      </c>
      <c r="B74" s="652"/>
      <c r="C74" s="175" t="s">
        <v>283</v>
      </c>
      <c r="D74" s="650">
        <v>1000</v>
      </c>
      <c r="E74" s="650">
        <v>1000</v>
      </c>
      <c r="F74" s="650"/>
      <c r="G74" s="650"/>
      <c r="H74" s="650"/>
      <c r="I74" s="650"/>
      <c r="J74" s="650"/>
      <c r="K74" s="655"/>
      <c r="L74" s="380"/>
      <c r="M74" s="288"/>
      <c r="N74" s="2"/>
    </row>
    <row r="75" spans="1:18" s="78" customFormat="1" ht="12.75" x14ac:dyDescent="0.2">
      <c r="A75" s="657" t="s">
        <v>1809</v>
      </c>
      <c r="B75" s="658"/>
      <c r="C75" s="76" t="s">
        <v>376</v>
      </c>
      <c r="D75" s="651"/>
      <c r="E75" s="651"/>
      <c r="F75" s="651"/>
      <c r="G75" s="651"/>
      <c r="H75" s="651"/>
      <c r="I75" s="651"/>
      <c r="J75" s="651"/>
      <c r="K75" s="656"/>
      <c r="L75" s="379"/>
      <c r="M75" s="290"/>
    </row>
    <row r="76" spans="1:18" s="10" customFormat="1" ht="11.25" customHeight="1" x14ac:dyDescent="0.2">
      <c r="A76" s="661" t="s">
        <v>612</v>
      </c>
      <c r="B76" s="662"/>
      <c r="C76" s="175" t="s">
        <v>285</v>
      </c>
      <c r="D76" s="653" t="s">
        <v>326</v>
      </c>
      <c r="E76" s="653" t="s">
        <v>326</v>
      </c>
      <c r="F76" s="653"/>
      <c r="G76" s="653"/>
      <c r="H76" s="653"/>
      <c r="I76" s="653"/>
      <c r="J76" s="653" t="s">
        <v>370</v>
      </c>
      <c r="K76" s="655"/>
      <c r="L76" s="382"/>
      <c r="M76" s="289"/>
      <c r="P76" s="5"/>
    </row>
    <row r="77" spans="1:18" s="78" customFormat="1" ht="12.75" customHeight="1" x14ac:dyDescent="0.2">
      <c r="A77" s="509" t="s">
        <v>552</v>
      </c>
      <c r="B77" s="510"/>
      <c r="C77" s="76" t="s">
        <v>376</v>
      </c>
      <c r="D77" s="654"/>
      <c r="E77" s="654"/>
      <c r="F77" s="654"/>
      <c r="G77" s="654"/>
      <c r="H77" s="654"/>
      <c r="I77" s="654"/>
      <c r="J77" s="654"/>
      <c r="K77" s="656"/>
      <c r="L77" s="379"/>
      <c r="M77" s="290"/>
    </row>
    <row r="78" spans="1:18" s="10" customFormat="1" ht="11.25" customHeight="1" x14ac:dyDescent="0.2">
      <c r="A78" s="661" t="s">
        <v>611</v>
      </c>
      <c r="B78" s="662"/>
      <c r="C78" s="278" t="s">
        <v>377</v>
      </c>
      <c r="D78" s="420">
        <v>5</v>
      </c>
      <c r="E78" s="420">
        <v>5</v>
      </c>
      <c r="F78" s="280"/>
      <c r="G78" s="280"/>
      <c r="H78" s="280"/>
      <c r="I78" s="280"/>
      <c r="J78" s="280" t="str">
        <f>IFERROR(VLOOKUP(J73,'bedingte Auswahlfelder'!$N$3:$S$22,6,FALSE),"")</f>
        <v>-</v>
      </c>
      <c r="K78" s="431"/>
      <c r="L78" s="382"/>
      <c r="M78" s="289"/>
      <c r="P78" s="5"/>
    </row>
    <row r="79" spans="1:18" s="5" customFormat="1" x14ac:dyDescent="0.2">
      <c r="A79" s="796" t="s">
        <v>626</v>
      </c>
      <c r="B79" s="797"/>
      <c r="C79" s="315" t="s">
        <v>378</v>
      </c>
      <c r="D79" s="116"/>
      <c r="E79" s="116"/>
      <c r="F79" s="116"/>
      <c r="G79" s="116"/>
      <c r="H79" s="116"/>
      <c r="I79" s="116"/>
      <c r="J79" s="116"/>
      <c r="K79" s="432"/>
      <c r="L79" s="382"/>
      <c r="M79" s="289"/>
      <c r="N79" s="10"/>
      <c r="R79" s="2"/>
    </row>
    <row r="80" spans="1:18" s="10" customFormat="1" ht="11.25" customHeight="1" x14ac:dyDescent="0.2">
      <c r="A80" s="794" t="s">
        <v>24</v>
      </c>
      <c r="B80" s="795"/>
      <c r="C80" s="174" t="str">
        <f>IF(C73='bedingte Auswahlfelder'!Q2,"Leistung:",IF(C73='bedingte Auswahlfelder'!O2,"Leistung:","Bürde:"))</f>
        <v>Leistung:</v>
      </c>
      <c r="D80" s="445" t="s">
        <v>1824</v>
      </c>
      <c r="E80" s="445" t="s">
        <v>1824</v>
      </c>
      <c r="F80" s="445"/>
      <c r="G80" s="441"/>
      <c r="H80" s="441"/>
      <c r="I80" s="441"/>
      <c r="J80" s="441"/>
      <c r="K80" s="798"/>
      <c r="L80" s="382"/>
      <c r="M80" s="289"/>
      <c r="P80" s="5"/>
    </row>
    <row r="81" spans="1:16" s="78" customFormat="1" ht="12.75" customHeight="1" x14ac:dyDescent="0.2">
      <c r="A81" s="800"/>
      <c r="B81" s="801"/>
      <c r="C81" s="76" t="s">
        <v>375</v>
      </c>
      <c r="D81" s="446"/>
      <c r="E81" s="446"/>
      <c r="F81" s="446"/>
      <c r="G81" s="442"/>
      <c r="H81" s="442"/>
      <c r="I81" s="442"/>
      <c r="J81" s="442"/>
      <c r="K81" s="799"/>
      <c r="L81" s="379"/>
      <c r="M81" s="290"/>
    </row>
    <row r="82" spans="1:16" s="10" customFormat="1" ht="11.25" customHeight="1" x14ac:dyDescent="0.2">
      <c r="A82" s="800"/>
      <c r="B82" s="801"/>
      <c r="C82" s="174" t="s">
        <v>287</v>
      </c>
      <c r="D82" s="572">
        <v>1.5</v>
      </c>
      <c r="E82" s="572">
        <v>1.5</v>
      </c>
      <c r="F82" s="572"/>
      <c r="G82" s="572"/>
      <c r="H82" s="572"/>
      <c r="I82" s="572"/>
      <c r="J82" s="572" t="s">
        <v>370</v>
      </c>
      <c r="K82" s="581"/>
      <c r="L82" s="376"/>
      <c r="M82" s="289"/>
      <c r="N82" s="5"/>
      <c r="P82" s="5"/>
    </row>
    <row r="83" spans="1:16" s="78" customFormat="1" ht="12.75" customHeight="1" x14ac:dyDescent="0.2">
      <c r="A83" s="800"/>
      <c r="B83" s="801"/>
      <c r="C83" s="76" t="s">
        <v>382</v>
      </c>
      <c r="D83" s="573"/>
      <c r="E83" s="573"/>
      <c r="F83" s="573"/>
      <c r="G83" s="573"/>
      <c r="H83" s="573"/>
      <c r="I83" s="573"/>
      <c r="J83" s="573"/>
      <c r="K83" s="582"/>
      <c r="L83" s="379"/>
      <c r="M83" s="290"/>
    </row>
    <row r="84" spans="1:16" s="10" customFormat="1" ht="11.25" customHeight="1" x14ac:dyDescent="0.2">
      <c r="A84" s="800"/>
      <c r="B84" s="801"/>
      <c r="C84" s="174" t="s">
        <v>369</v>
      </c>
      <c r="D84" s="712"/>
      <c r="E84" s="712"/>
      <c r="F84" s="712"/>
      <c r="G84" s="712"/>
      <c r="H84" s="712"/>
      <c r="I84" s="712"/>
      <c r="J84" s="712"/>
      <c r="K84" s="786"/>
      <c r="L84" s="376"/>
      <c r="M84" s="289"/>
      <c r="N84" s="5"/>
      <c r="P84" s="5"/>
    </row>
    <row r="85" spans="1:16" s="78" customFormat="1" ht="12.75" customHeight="1" x14ac:dyDescent="0.2">
      <c r="A85" s="800"/>
      <c r="B85" s="801"/>
      <c r="C85" s="76" t="s">
        <v>383</v>
      </c>
      <c r="D85" s="713"/>
      <c r="E85" s="713"/>
      <c r="F85" s="713"/>
      <c r="G85" s="713"/>
      <c r="H85" s="713"/>
      <c r="I85" s="713"/>
      <c r="J85" s="713"/>
      <c r="K85" s="787"/>
      <c r="L85" s="379"/>
      <c r="M85" s="290"/>
    </row>
    <row r="86" spans="1:16" s="5" customFormat="1" x14ac:dyDescent="0.2">
      <c r="A86" s="800"/>
      <c r="B86" s="801"/>
      <c r="C86" s="174" t="s">
        <v>385</v>
      </c>
      <c r="D86" s="279"/>
      <c r="E86" s="279"/>
      <c r="F86" s="279"/>
      <c r="G86" s="279"/>
      <c r="H86" s="279"/>
      <c r="I86" s="279"/>
      <c r="J86" s="279" t="str">
        <f>IFERROR(VLOOKUP('DB GIF'!J73,'bedingte Auswahlfelder'!$N$3:$U$22,8,FALSE),"")</f>
        <v>-</v>
      </c>
      <c r="K86" s="358"/>
      <c r="L86" s="376"/>
      <c r="M86" s="288"/>
    </row>
    <row r="87" spans="1:16" s="78" customFormat="1" ht="27.75" customHeight="1" x14ac:dyDescent="0.2">
      <c r="A87" s="800"/>
      <c r="B87" s="801"/>
      <c r="C87" s="76" t="s">
        <v>397</v>
      </c>
      <c r="D87" s="86"/>
      <c r="E87" s="86"/>
      <c r="F87" s="86"/>
      <c r="G87" s="86"/>
      <c r="H87" s="86"/>
      <c r="I87" s="86"/>
      <c r="J87" s="86"/>
      <c r="K87" s="359"/>
      <c r="L87" s="379"/>
      <c r="M87" s="290"/>
    </row>
    <row r="88" spans="1:16" s="5" customFormat="1" x14ac:dyDescent="0.2">
      <c r="A88" s="800"/>
      <c r="B88" s="801"/>
      <c r="C88" s="174" t="s">
        <v>386</v>
      </c>
      <c r="D88" s="279"/>
      <c r="E88" s="279"/>
      <c r="F88" s="279"/>
      <c r="G88" s="279"/>
      <c r="H88" s="279"/>
      <c r="I88" s="279"/>
      <c r="J88" s="279"/>
      <c r="K88" s="358"/>
      <c r="L88" s="376"/>
      <c r="M88" s="288"/>
    </row>
    <row r="89" spans="1:16" s="78" customFormat="1" ht="12.75" customHeight="1" x14ac:dyDescent="0.2">
      <c r="A89" s="800"/>
      <c r="B89" s="801"/>
      <c r="C89" s="76" t="s">
        <v>393</v>
      </c>
      <c r="D89" s="86"/>
      <c r="E89" s="86"/>
      <c r="F89" s="86"/>
      <c r="G89" s="86"/>
      <c r="H89" s="86"/>
      <c r="I89" s="86"/>
      <c r="J89" s="86"/>
      <c r="K89" s="360"/>
      <c r="L89" s="379"/>
      <c r="M89" s="290"/>
    </row>
    <row r="90" spans="1:16" s="10" customFormat="1" ht="11.25" customHeight="1" x14ac:dyDescent="0.2">
      <c r="A90" s="800"/>
      <c r="B90" s="801"/>
      <c r="C90" s="175" t="s">
        <v>288</v>
      </c>
      <c r="D90" s="429"/>
      <c r="E90" s="429"/>
      <c r="F90" s="429"/>
      <c r="G90" s="429"/>
      <c r="H90" s="429"/>
      <c r="I90" s="429"/>
      <c r="J90" s="429"/>
      <c r="K90" s="431"/>
      <c r="L90" s="382"/>
      <c r="M90" s="289"/>
      <c r="P90" s="5"/>
    </row>
    <row r="91" spans="1:16" s="78" customFormat="1" ht="12.75" customHeight="1" x14ac:dyDescent="0.2">
      <c r="A91" s="800"/>
      <c r="B91" s="801"/>
      <c r="C91" s="76" t="s">
        <v>289</v>
      </c>
      <c r="D91" s="430"/>
      <c r="E91" s="430"/>
      <c r="F91" s="430"/>
      <c r="G91" s="430"/>
      <c r="H91" s="430"/>
      <c r="I91" s="430"/>
      <c r="J91" s="430"/>
      <c r="K91" s="432"/>
      <c r="L91" s="379"/>
      <c r="M91" s="290"/>
    </row>
    <row r="92" spans="1:16" s="10" customFormat="1" ht="11.25" customHeight="1" x14ac:dyDescent="0.2">
      <c r="A92" s="800"/>
      <c r="B92" s="801"/>
      <c r="C92" s="174" t="s">
        <v>384</v>
      </c>
      <c r="D92" s="429"/>
      <c r="E92" s="429"/>
      <c r="F92" s="429"/>
      <c r="G92" s="429"/>
      <c r="H92" s="429"/>
      <c r="I92" s="429"/>
      <c r="J92" s="429"/>
      <c r="K92" s="431"/>
      <c r="L92" s="382"/>
      <c r="M92" s="289"/>
    </row>
    <row r="93" spans="1:16" s="78" customFormat="1" ht="12.75" customHeight="1" x14ac:dyDescent="0.2">
      <c r="A93" s="800"/>
      <c r="B93" s="801"/>
      <c r="C93" s="76" t="s">
        <v>368</v>
      </c>
      <c r="D93" s="430"/>
      <c r="E93" s="430"/>
      <c r="F93" s="430"/>
      <c r="G93" s="430"/>
      <c r="H93" s="430"/>
      <c r="I93" s="430"/>
      <c r="J93" s="430"/>
      <c r="K93" s="432"/>
      <c r="L93" s="379"/>
      <c r="M93" s="290"/>
    </row>
    <row r="94" spans="1:16" s="84" customFormat="1" ht="11.25" customHeight="1" x14ac:dyDescent="0.2">
      <c r="A94" s="800"/>
      <c r="B94" s="801"/>
      <c r="C94" s="174" t="s">
        <v>390</v>
      </c>
      <c r="D94" s="281"/>
      <c r="E94" s="281"/>
      <c r="F94" s="281"/>
      <c r="G94" s="281"/>
      <c r="H94" s="281"/>
      <c r="I94" s="281"/>
      <c r="J94" s="281"/>
      <c r="K94" s="431"/>
      <c r="L94" s="383"/>
      <c r="M94" s="291"/>
    </row>
    <row r="95" spans="1:16" s="78" customFormat="1" ht="11.25" customHeight="1" x14ac:dyDescent="0.2">
      <c r="A95" s="800"/>
      <c r="B95" s="801"/>
      <c r="C95" s="77" t="s">
        <v>391</v>
      </c>
      <c r="D95" s="87"/>
      <c r="E95" s="87"/>
      <c r="F95" s="87"/>
      <c r="G95" s="87"/>
      <c r="H95" s="87"/>
      <c r="I95" s="87"/>
      <c r="J95" s="87"/>
      <c r="K95" s="633"/>
      <c r="L95" s="379"/>
      <c r="M95" s="290"/>
    </row>
    <row r="96" spans="1:16" s="78" customFormat="1" ht="12.75" customHeight="1" x14ac:dyDescent="0.2">
      <c r="A96" s="800"/>
      <c r="B96" s="801"/>
      <c r="C96" s="77" t="s">
        <v>392</v>
      </c>
      <c r="D96" s="109"/>
      <c r="E96" s="109"/>
      <c r="F96" s="109"/>
      <c r="G96" s="109"/>
      <c r="H96" s="109"/>
      <c r="I96" s="109"/>
      <c r="J96" s="109"/>
      <c r="K96" s="432"/>
      <c r="L96" s="379"/>
      <c r="M96" s="290"/>
    </row>
    <row r="97" spans="1:14" s="5" customFormat="1" x14ac:dyDescent="0.2">
      <c r="A97" s="800"/>
      <c r="B97" s="801"/>
      <c r="C97" s="174" t="s">
        <v>387</v>
      </c>
      <c r="D97" s="87"/>
      <c r="E97" s="87"/>
      <c r="F97" s="87"/>
      <c r="G97" s="87"/>
      <c r="H97" s="87"/>
      <c r="I97" s="87"/>
      <c r="J97" s="87"/>
      <c r="K97" s="361"/>
      <c r="L97" s="376"/>
      <c r="M97" s="288"/>
    </row>
    <row r="98" spans="1:14" s="5" customFormat="1" x14ac:dyDescent="0.2">
      <c r="A98" s="800"/>
      <c r="B98" s="801"/>
      <c r="C98" s="77" t="s">
        <v>400</v>
      </c>
      <c r="D98" s="87"/>
      <c r="E98" s="87"/>
      <c r="F98" s="87"/>
      <c r="G98" s="87"/>
      <c r="H98" s="87"/>
      <c r="I98" s="87"/>
      <c r="J98" s="87"/>
      <c r="K98" s="361"/>
      <c r="L98" s="376"/>
      <c r="M98" s="288"/>
    </row>
    <row r="99" spans="1:14" s="5" customFormat="1" x14ac:dyDescent="0.2">
      <c r="A99" s="800"/>
      <c r="B99" s="801"/>
      <c r="C99" s="77" t="s">
        <v>399</v>
      </c>
      <c r="D99" s="87"/>
      <c r="E99" s="87"/>
      <c r="F99" s="87"/>
      <c r="G99" s="87"/>
      <c r="H99" s="87"/>
      <c r="I99" s="87"/>
      <c r="J99" s="87"/>
      <c r="K99" s="361"/>
      <c r="L99" s="376"/>
      <c r="M99" s="288"/>
    </row>
    <row r="100" spans="1:14" s="5" customFormat="1" x14ac:dyDescent="0.2">
      <c r="A100" s="800"/>
      <c r="B100" s="801"/>
      <c r="C100" s="77" t="s">
        <v>401</v>
      </c>
      <c r="D100" s="87"/>
      <c r="E100" s="87"/>
      <c r="F100" s="87"/>
      <c r="G100" s="87"/>
      <c r="H100" s="87"/>
      <c r="I100" s="87"/>
      <c r="J100" s="87"/>
      <c r="K100" s="361"/>
      <c r="L100" s="380"/>
      <c r="M100" s="288"/>
      <c r="N100" s="2"/>
    </row>
    <row r="101" spans="1:14" s="5" customFormat="1" x14ac:dyDescent="0.2">
      <c r="A101" s="800"/>
      <c r="B101" s="801"/>
      <c r="C101" s="77" t="s">
        <v>402</v>
      </c>
      <c r="D101" s="87"/>
      <c r="E101" s="87"/>
      <c r="F101" s="87"/>
      <c r="G101" s="87"/>
      <c r="H101" s="87"/>
      <c r="I101" s="87"/>
      <c r="J101" s="87"/>
      <c r="K101" s="361"/>
      <c r="L101" s="380"/>
      <c r="M101" s="288"/>
      <c r="N101" s="2"/>
    </row>
    <row r="102" spans="1:14" s="5" customFormat="1" x14ac:dyDescent="0.2">
      <c r="A102" s="802"/>
      <c r="B102" s="803"/>
      <c r="C102" s="77" t="s">
        <v>403</v>
      </c>
      <c r="D102" s="87"/>
      <c r="E102" s="87"/>
      <c r="F102" s="87"/>
      <c r="G102" s="87"/>
      <c r="H102" s="87"/>
      <c r="I102" s="87"/>
      <c r="J102" s="87"/>
      <c r="K102" s="361"/>
      <c r="L102" s="380"/>
      <c r="M102" s="288"/>
      <c r="N102" s="2"/>
    </row>
    <row r="103" spans="1:14" s="10" customFormat="1" ht="11.25" customHeight="1" thickBot="1" x14ac:dyDescent="0.25">
      <c r="A103" s="671" t="s">
        <v>1791</v>
      </c>
      <c r="B103" s="672"/>
      <c r="C103" s="673"/>
      <c r="D103" s="429" t="s">
        <v>517</v>
      </c>
      <c r="E103" s="429"/>
      <c r="F103" s="429"/>
      <c r="G103" s="429"/>
      <c r="H103" s="429"/>
      <c r="I103" s="429"/>
      <c r="J103" s="429"/>
      <c r="K103" s="431"/>
      <c r="L103" s="382"/>
      <c r="M103" s="288"/>
    </row>
    <row r="104" spans="1:14" s="84" customFormat="1" ht="31.5" customHeight="1" thickBot="1" x14ac:dyDescent="0.25">
      <c r="A104" s="668" t="s">
        <v>1790</v>
      </c>
      <c r="B104" s="669"/>
      <c r="C104" s="670"/>
      <c r="D104" s="430"/>
      <c r="E104" s="430"/>
      <c r="F104" s="430"/>
      <c r="G104" s="430"/>
      <c r="H104" s="430"/>
      <c r="I104" s="430"/>
      <c r="J104" s="430"/>
      <c r="K104" s="432"/>
      <c r="L104" s="383"/>
      <c r="M104" s="288"/>
    </row>
    <row r="105" spans="1:14" s="5" customFormat="1" ht="11.25" customHeight="1" x14ac:dyDescent="0.2">
      <c r="A105" s="439" t="s">
        <v>617</v>
      </c>
      <c r="B105" s="440"/>
      <c r="C105" s="440"/>
      <c r="D105" s="440"/>
      <c r="E105" s="440"/>
      <c r="F105" s="440"/>
      <c r="G105" s="440"/>
      <c r="H105" s="440"/>
      <c r="I105" s="440"/>
      <c r="J105" s="440"/>
      <c r="K105" s="440"/>
      <c r="L105" s="380"/>
      <c r="M105" s="288"/>
      <c r="N105" s="2"/>
    </row>
    <row r="106" spans="1:14" s="5" customFormat="1" ht="63.75" customHeight="1" thickBot="1" x14ac:dyDescent="0.25">
      <c r="A106" s="714" t="s">
        <v>1825</v>
      </c>
      <c r="B106" s="715"/>
      <c r="C106" s="715"/>
      <c r="D106" s="715"/>
      <c r="E106" s="715"/>
      <c r="F106" s="715"/>
      <c r="G106" s="715"/>
      <c r="H106" s="715"/>
      <c r="I106" s="715"/>
      <c r="J106" s="715"/>
      <c r="K106" s="715"/>
      <c r="L106" s="376"/>
      <c r="M106" s="288"/>
    </row>
    <row r="107" spans="1:14" s="5" customFormat="1" ht="24" customHeight="1" thickBot="1" x14ac:dyDescent="0.25">
      <c r="A107" s="463" t="s">
        <v>644</v>
      </c>
      <c r="B107" s="793"/>
      <c r="C107" s="793"/>
      <c r="D107" s="793"/>
      <c r="E107" s="793"/>
      <c r="F107" s="793"/>
      <c r="G107" s="463" t="s">
        <v>665</v>
      </c>
      <c r="H107" s="464"/>
      <c r="I107" s="464"/>
      <c r="J107" s="464"/>
      <c r="K107" s="464"/>
      <c r="L107" s="376"/>
      <c r="M107" s="288"/>
    </row>
    <row r="108" spans="1:14" s="5" customFormat="1" ht="24" customHeight="1" thickBot="1" x14ac:dyDescent="0.25">
      <c r="A108" s="447" t="s">
        <v>653</v>
      </c>
      <c r="B108" s="427"/>
      <c r="C108" s="449"/>
      <c r="D108" s="450"/>
      <c r="E108" s="634" t="s">
        <v>1126</v>
      </c>
      <c r="F108" s="635"/>
      <c r="G108" s="374" t="str">
        <f>IF(($E$108="mit / with transmitter"),"Ja","")</f>
        <v>Ja</v>
      </c>
      <c r="H108" s="443" t="s">
        <v>663</v>
      </c>
      <c r="I108" s="444"/>
      <c r="J108" s="434" t="s">
        <v>661</v>
      </c>
      <c r="K108" s="434"/>
      <c r="L108" s="376"/>
      <c r="M108" s="288"/>
    </row>
    <row r="109" spans="1:14" s="5" customFormat="1" ht="24" customHeight="1" thickBot="1" x14ac:dyDescent="0.25">
      <c r="A109" s="426" t="s">
        <v>1100</v>
      </c>
      <c r="B109" s="427"/>
      <c r="C109" s="449"/>
      <c r="D109" s="450"/>
      <c r="E109" s="636"/>
      <c r="F109" s="637"/>
      <c r="G109" s="433" t="s">
        <v>1826</v>
      </c>
      <c r="H109" s="434"/>
      <c r="I109" s="434"/>
      <c r="J109" s="434"/>
      <c r="K109" s="434"/>
      <c r="L109" s="376"/>
      <c r="M109" s="288"/>
    </row>
    <row r="110" spans="1:14" s="5" customFormat="1" ht="24" customHeight="1" thickBot="1" x14ac:dyDescent="0.25">
      <c r="A110" s="447" t="s">
        <v>654</v>
      </c>
      <c r="B110" s="427"/>
      <c r="C110" s="427"/>
      <c r="D110" s="428"/>
      <c r="E110" s="790">
        <v>2</v>
      </c>
      <c r="F110" s="791"/>
      <c r="G110" s="792"/>
      <c r="H110" s="452"/>
      <c r="I110" s="452"/>
      <c r="J110" s="452"/>
      <c r="K110" s="452"/>
      <c r="L110" s="376"/>
      <c r="M110" s="288"/>
    </row>
    <row r="111" spans="1:14" s="5" customFormat="1" ht="24" customHeight="1" thickBot="1" x14ac:dyDescent="0.25">
      <c r="A111" s="447" t="s">
        <v>655</v>
      </c>
      <c r="B111" s="427"/>
      <c r="C111" s="427"/>
      <c r="D111" s="428"/>
      <c r="E111" s="424" t="s">
        <v>556</v>
      </c>
      <c r="F111" s="448"/>
      <c r="G111" s="433" t="s">
        <v>1833</v>
      </c>
      <c r="H111" s="632"/>
      <c r="I111" s="632"/>
      <c r="J111" s="632"/>
      <c r="K111" s="632"/>
      <c r="L111" s="376"/>
      <c r="M111" s="288"/>
    </row>
    <row r="112" spans="1:14" s="5" customFormat="1" ht="24" customHeight="1" thickBot="1" x14ac:dyDescent="0.25">
      <c r="A112" s="447" t="s">
        <v>656</v>
      </c>
      <c r="B112" s="427"/>
      <c r="C112" s="427"/>
      <c r="D112" s="428"/>
      <c r="E112" s="424" t="s">
        <v>557</v>
      </c>
      <c r="F112" s="448"/>
      <c r="G112" s="638"/>
      <c r="H112" s="434"/>
      <c r="I112" s="434"/>
      <c r="J112" s="434"/>
      <c r="K112" s="434"/>
      <c r="L112" s="376"/>
      <c r="M112" s="288"/>
    </row>
    <row r="113" spans="1:15" s="5" customFormat="1" ht="24" customHeight="1" thickBot="1" x14ac:dyDescent="0.25">
      <c r="A113" s="426" t="s">
        <v>657</v>
      </c>
      <c r="B113" s="427"/>
      <c r="C113" s="427"/>
      <c r="D113" s="428"/>
      <c r="E113" s="424" t="s">
        <v>556</v>
      </c>
      <c r="F113" s="448"/>
      <c r="G113" s="638"/>
      <c r="H113" s="434"/>
      <c r="I113" s="434"/>
      <c r="J113" s="434"/>
      <c r="K113" s="434"/>
      <c r="L113" s="376"/>
      <c r="M113" s="288"/>
    </row>
    <row r="114" spans="1:15" s="5" customFormat="1" ht="60.75" customHeight="1" thickBot="1" x14ac:dyDescent="0.25">
      <c r="A114" s="426" t="s">
        <v>966</v>
      </c>
      <c r="B114" s="427"/>
      <c r="C114" s="427"/>
      <c r="D114" s="428"/>
      <c r="E114" s="424" t="s">
        <v>556</v>
      </c>
      <c r="F114" s="425"/>
      <c r="G114" s="296" t="str">
        <f>E114</f>
        <v>Ja</v>
      </c>
      <c r="H114" s="443" t="s">
        <v>1154</v>
      </c>
      <c r="I114" s="444"/>
      <c r="J114" s="435" t="s">
        <v>1136</v>
      </c>
      <c r="K114" s="436"/>
      <c r="L114" s="419" t="s">
        <v>1837</v>
      </c>
      <c r="M114" s="288"/>
    </row>
    <row r="115" spans="1:15" s="5" customFormat="1" ht="30" customHeight="1" thickBot="1" x14ac:dyDescent="0.25">
      <c r="A115" s="426" t="s">
        <v>658</v>
      </c>
      <c r="B115" s="427"/>
      <c r="C115" s="427"/>
      <c r="D115" s="428"/>
      <c r="E115" s="437" t="s">
        <v>1130</v>
      </c>
      <c r="F115" s="438"/>
      <c r="G115" s="638"/>
      <c r="H115" s="434"/>
      <c r="I115" s="434"/>
      <c r="J115" s="434"/>
      <c r="K115" s="434"/>
      <c r="L115" s="376"/>
      <c r="M115" s="288"/>
    </row>
    <row r="116" spans="1:15" s="5" customFormat="1" ht="24" customHeight="1" thickBot="1" x14ac:dyDescent="0.25">
      <c r="A116" s="447" t="s">
        <v>659</v>
      </c>
      <c r="B116" s="427"/>
      <c r="C116" s="427"/>
      <c r="D116" s="428"/>
      <c r="E116" s="636" t="s">
        <v>634</v>
      </c>
      <c r="F116" s="641"/>
      <c r="G116" s="639" t="str">
        <f>IF(E116="TRAFAG","Kleine Skala &amp; Referenzmessung",IF(E116="EMD","Kleine Skala &amp; Referenzmessung",IF(E116="COMDE","Kleine Skala &amp; Referenzmessung",IF(E116="LANSO","Große Skala &amp; Referenzmessung",IF(E116="WIKA","Große Skala &amp; Referenzmessung ",IF(E116="Frei wählbar / not specified","Auswahl obliegt OEN",IF(E116="EMD with big scale","Große Skala &amp; Referenzmessung, Achtung: Hohe Kosten!")))))))</f>
        <v>Kleine Skala &amp; Referenzmessung</v>
      </c>
      <c r="H116" s="640"/>
      <c r="I116" s="640"/>
      <c r="J116" s="640"/>
      <c r="K116" s="640"/>
      <c r="L116" s="380"/>
      <c r="M116" s="288"/>
      <c r="N116" s="2"/>
    </row>
    <row r="117" spans="1:15" s="5" customFormat="1" ht="24" customHeight="1" thickBot="1" x14ac:dyDescent="0.25">
      <c r="A117" s="447" t="s">
        <v>1421</v>
      </c>
      <c r="B117" s="427"/>
      <c r="C117" s="427"/>
      <c r="D117" s="428"/>
      <c r="E117" s="424" t="s">
        <v>557</v>
      </c>
      <c r="F117" s="448"/>
      <c r="G117" s="638"/>
      <c r="H117" s="434"/>
      <c r="I117" s="434"/>
      <c r="J117" s="434"/>
      <c r="K117" s="434"/>
      <c r="L117" s="376"/>
      <c r="M117" s="288"/>
    </row>
    <row r="118" spans="1:15" s="5" customFormat="1" ht="24" customHeight="1" thickBot="1" x14ac:dyDescent="0.25">
      <c r="A118" s="447" t="s">
        <v>666</v>
      </c>
      <c r="B118" s="642"/>
      <c r="C118" s="642"/>
      <c r="D118" s="643"/>
      <c r="E118" s="424" t="s">
        <v>556</v>
      </c>
      <c r="F118" s="448"/>
      <c r="G118" s="498" t="s">
        <v>1838</v>
      </c>
      <c r="H118" s="499"/>
      <c r="I118" s="499"/>
      <c r="J118" s="499"/>
      <c r="K118" s="499"/>
      <c r="L118" s="380"/>
      <c r="M118" s="288"/>
    </row>
    <row r="119" spans="1:15" s="5" customFormat="1" ht="24" customHeight="1" thickBot="1" x14ac:dyDescent="0.25">
      <c r="A119" s="447" t="s">
        <v>667</v>
      </c>
      <c r="B119" s="427"/>
      <c r="C119" s="427"/>
      <c r="D119" s="428"/>
      <c r="E119" s="424" t="s">
        <v>396</v>
      </c>
      <c r="F119" s="425"/>
      <c r="G119" s="498"/>
      <c r="H119" s="499"/>
      <c r="I119" s="499"/>
      <c r="J119" s="499"/>
      <c r="K119" s="499"/>
      <c r="L119" s="376"/>
      <c r="M119" s="288"/>
    </row>
    <row r="120" spans="1:15" s="5" customFormat="1" ht="24" customHeight="1" thickBot="1" x14ac:dyDescent="0.25">
      <c r="A120" s="494" t="s">
        <v>1353</v>
      </c>
      <c r="B120" s="495"/>
      <c r="C120" s="492" t="s">
        <v>1354</v>
      </c>
      <c r="D120" s="493"/>
      <c r="E120" s="492" t="s">
        <v>1355</v>
      </c>
      <c r="F120" s="493"/>
      <c r="G120" s="492" t="s">
        <v>1356</v>
      </c>
      <c r="H120" s="493"/>
      <c r="I120" s="783" t="s">
        <v>1357</v>
      </c>
      <c r="J120" s="784"/>
      <c r="K120" s="362" t="s">
        <v>668</v>
      </c>
      <c r="L120" s="376"/>
      <c r="M120" s="288"/>
    </row>
    <row r="121" spans="1:15" s="5" customFormat="1" ht="24" customHeight="1" thickBot="1" x14ac:dyDescent="0.25">
      <c r="A121" s="496"/>
      <c r="B121" s="497"/>
      <c r="C121" s="605">
        <v>6</v>
      </c>
      <c r="D121" s="606"/>
      <c r="E121" s="766">
        <f>VLOOKUP(C121,Auswahlfelder!I3:K13,2,TRUE)</f>
        <v>5.5</v>
      </c>
      <c r="F121" s="767"/>
      <c r="G121" s="766">
        <f>VLOOKUP(C121,Auswahlfelder!I3:K13,3,TRUE)</f>
        <v>5</v>
      </c>
      <c r="H121" s="767"/>
      <c r="I121" s="627">
        <v>5</v>
      </c>
      <c r="J121" s="628"/>
      <c r="K121" s="363">
        <f>((C121+1)*1.2)-1</f>
        <v>7.4</v>
      </c>
      <c r="L121" s="418" t="s">
        <v>1810</v>
      </c>
      <c r="M121" s="288"/>
      <c r="N121" s="2"/>
    </row>
    <row r="122" spans="1:15" s="5" customFormat="1" ht="24" customHeight="1" thickBot="1" x14ac:dyDescent="0.25">
      <c r="A122" s="447" t="s">
        <v>669</v>
      </c>
      <c r="B122" s="427"/>
      <c r="C122" s="427"/>
      <c r="D122" s="428"/>
      <c r="E122" s="788">
        <f>E109</f>
        <v>0</v>
      </c>
      <c r="F122" s="789"/>
      <c r="G122" s="639" t="b">
        <f>IF(J2="USA","USA! Avoid input of bar!!!")</f>
        <v>0</v>
      </c>
      <c r="H122" s="640"/>
      <c r="I122" s="638"/>
      <c r="J122" s="434"/>
      <c r="K122" s="434"/>
      <c r="L122" s="418" t="s">
        <v>1811</v>
      </c>
      <c r="M122" s="266"/>
      <c r="O122" s="2"/>
    </row>
    <row r="123" spans="1:15" s="5" customFormat="1" ht="24" customHeight="1" thickBot="1" x14ac:dyDescent="0.25">
      <c r="A123" s="447" t="s">
        <v>670</v>
      </c>
      <c r="B123" s="449"/>
      <c r="C123" s="449"/>
      <c r="D123" s="450"/>
      <c r="E123" s="471" t="s">
        <v>652</v>
      </c>
      <c r="F123" s="472"/>
      <c r="G123" s="630" t="str">
        <f>IF(E119="Clean Air","DN20 mit M50x2 verwenden","")</f>
        <v/>
      </c>
      <c r="H123" s="631"/>
      <c r="I123" s="631"/>
      <c r="J123" s="631"/>
      <c r="K123" s="631"/>
      <c r="L123" s="416" t="s">
        <v>1830</v>
      </c>
      <c r="M123" s="288"/>
      <c r="N123" s="2"/>
    </row>
    <row r="124" spans="1:15" s="5" customFormat="1" ht="24" customHeight="1" thickBot="1" x14ac:dyDescent="0.25">
      <c r="A124" s="575" t="s">
        <v>967</v>
      </c>
      <c r="B124" s="760"/>
      <c r="C124" s="760"/>
      <c r="D124" s="761"/>
      <c r="E124" s="762" t="s">
        <v>1155</v>
      </c>
      <c r="F124" s="763"/>
      <c r="G124" s="498"/>
      <c r="H124" s="499"/>
      <c r="I124" s="499"/>
      <c r="J124" s="499"/>
      <c r="K124" s="499"/>
      <c r="L124" s="416" t="s">
        <v>1831</v>
      </c>
      <c r="M124" s="266"/>
    </row>
    <row r="125" spans="1:15" s="5" customFormat="1" ht="12" customHeight="1" thickBot="1" x14ac:dyDescent="0.25">
      <c r="A125" s="244"/>
      <c r="B125" s="282"/>
      <c r="C125" s="282"/>
      <c r="D125" s="282"/>
      <c r="E125" s="283"/>
      <c r="F125" s="284"/>
      <c r="G125" s="285"/>
      <c r="H125" s="286"/>
      <c r="I125" s="286"/>
      <c r="J125" s="286"/>
      <c r="K125" s="286"/>
      <c r="L125" s="376"/>
      <c r="M125" s="288"/>
    </row>
    <row r="126" spans="1:15" s="5" customFormat="1" ht="24" customHeight="1" thickBot="1" x14ac:dyDescent="0.25">
      <c r="A126" s="758" t="s">
        <v>671</v>
      </c>
      <c r="B126" s="534"/>
      <c r="C126" s="534"/>
      <c r="D126" s="534"/>
      <c r="E126" s="533"/>
      <c r="F126" s="759"/>
      <c r="G126" s="463" t="s">
        <v>665</v>
      </c>
      <c r="H126" s="464"/>
      <c r="I126" s="464"/>
      <c r="J126" s="464"/>
      <c r="K126" s="464"/>
      <c r="L126" s="376"/>
      <c r="M126" s="288"/>
    </row>
    <row r="127" spans="1:15" s="5" customFormat="1" ht="24" customHeight="1" thickBot="1" x14ac:dyDescent="0.25">
      <c r="A127" s="773" t="s">
        <v>672</v>
      </c>
      <c r="B127" s="774"/>
      <c r="C127" s="774"/>
      <c r="D127" s="775"/>
      <c r="E127" s="777" t="s">
        <v>1129</v>
      </c>
      <c r="F127" s="778"/>
      <c r="G127" s="756" t="str">
        <f>IF(E127="Klein Guß / small casted","Falls kleiner Guß nicht kompatibel &gt; Auswahl Alu Kasten",IF(E127="Frei wählbar / not specified","Auswahl obliegt OEN",IF(E127="Klein Al / small al","Falls Klein Al nicht möglich &gt; Auswahl Al Kasten Groß",IF(E127="Groß","Asymetrischer Alu- KLemmenkasten",IF(E127="Klein PSVS / small","Scharniere müssen eingebaut werden",IF(E127="Groß PSVS / big","Scharniere müssen eingebaut werden",IF(E127="Sonder PSVS / custom","Nur an 25kVA-Modell verbaubar / Only for 25kVA","")))))))</f>
        <v>Auswahl obliegt OEN</v>
      </c>
      <c r="H127" s="757"/>
      <c r="I127" s="757"/>
      <c r="J127" s="757"/>
      <c r="K127" s="757"/>
      <c r="L127" s="376"/>
      <c r="M127" s="266"/>
    </row>
    <row r="128" spans="1:15" s="5" customFormat="1" ht="115.5" customHeight="1" thickBot="1" x14ac:dyDescent="0.25">
      <c r="A128" s="584"/>
      <c r="B128" s="569"/>
      <c r="C128" s="569"/>
      <c r="D128" s="776"/>
      <c r="E128" s="779"/>
      <c r="F128" s="780"/>
      <c r="G128" s="781" t="s">
        <v>1840</v>
      </c>
      <c r="H128" s="782"/>
      <c r="I128" s="782"/>
      <c r="J128" s="782"/>
      <c r="K128" s="782"/>
      <c r="L128" s="376"/>
      <c r="M128" s="288"/>
    </row>
    <row r="129" spans="1:14" s="5" customFormat="1" ht="22.5" customHeight="1" thickBot="1" x14ac:dyDescent="0.25">
      <c r="A129" s="584" t="s">
        <v>674</v>
      </c>
      <c r="B129" s="585"/>
      <c r="C129" s="585"/>
      <c r="D129" s="586"/>
      <c r="E129" s="565" t="s">
        <v>1592</v>
      </c>
      <c r="F129" s="629"/>
      <c r="G129" s="583"/>
      <c r="H129" s="571"/>
      <c r="I129" s="571"/>
      <c r="J129" s="571"/>
      <c r="K129" s="571"/>
      <c r="L129" s="380"/>
      <c r="M129" s="288"/>
    </row>
    <row r="130" spans="1:14" s="5" customFormat="1" ht="24" customHeight="1" thickBot="1" x14ac:dyDescent="0.25">
      <c r="A130" s="447" t="s">
        <v>675</v>
      </c>
      <c r="B130" s="449"/>
      <c r="C130" s="449"/>
      <c r="D130" s="450"/>
      <c r="E130" s="565" t="s">
        <v>1691</v>
      </c>
      <c r="F130" s="629"/>
      <c r="G130" s="498"/>
      <c r="H130" s="499"/>
      <c r="I130" s="499"/>
      <c r="J130" s="499"/>
      <c r="K130" s="499"/>
      <c r="L130" s="380"/>
      <c r="M130" s="288"/>
    </row>
    <row r="131" spans="1:14" s="5" customFormat="1" ht="42.75" customHeight="1" thickBot="1" x14ac:dyDescent="0.25">
      <c r="A131" s="447" t="s">
        <v>683</v>
      </c>
      <c r="B131" s="449"/>
      <c r="C131" s="449"/>
      <c r="D131" s="450"/>
      <c r="E131" s="424" t="s">
        <v>557</v>
      </c>
      <c r="F131" s="448"/>
      <c r="G131" s="580" t="s">
        <v>1828</v>
      </c>
      <c r="H131" s="499"/>
      <c r="I131" s="499"/>
      <c r="J131" s="499"/>
      <c r="K131" s="499"/>
      <c r="L131" s="376"/>
      <c r="M131" s="288"/>
    </row>
    <row r="132" spans="1:14" s="5" customFormat="1" ht="24" customHeight="1" thickBot="1" x14ac:dyDescent="0.25">
      <c r="A132" s="447" t="s">
        <v>1512</v>
      </c>
      <c r="B132" s="449"/>
      <c r="C132" s="449"/>
      <c r="D132" s="450"/>
      <c r="E132" s="424" t="s">
        <v>557</v>
      </c>
      <c r="F132" s="448"/>
      <c r="G132" s="498"/>
      <c r="H132" s="499"/>
      <c r="I132" s="499"/>
      <c r="J132" s="499"/>
      <c r="K132" s="499"/>
      <c r="L132" s="376"/>
      <c r="M132" s="288"/>
    </row>
    <row r="133" spans="1:14" s="5" customFormat="1" ht="24" customHeight="1" thickBot="1" x14ac:dyDescent="0.25">
      <c r="A133" s="575" t="s">
        <v>1703</v>
      </c>
      <c r="B133" s="449"/>
      <c r="C133" s="449"/>
      <c r="D133" s="450"/>
      <c r="E133" s="424" t="s">
        <v>557</v>
      </c>
      <c r="F133" s="448"/>
      <c r="G133" s="618"/>
      <c r="H133" s="619"/>
      <c r="I133" s="499"/>
      <c r="J133" s="499"/>
      <c r="K133" s="499"/>
      <c r="L133" s="376"/>
      <c r="M133" s="288"/>
    </row>
    <row r="134" spans="1:14" s="5" customFormat="1" ht="31.5" customHeight="1" thickBot="1" x14ac:dyDescent="0.25">
      <c r="A134" s="447" t="s">
        <v>1704</v>
      </c>
      <c r="B134" s="449"/>
      <c r="C134" s="449"/>
      <c r="D134" s="450"/>
      <c r="E134" s="616" t="s">
        <v>1169</v>
      </c>
      <c r="F134" s="617"/>
      <c r="G134" s="578"/>
      <c r="H134" s="579"/>
      <c r="I134" s="333" t="s">
        <v>1415</v>
      </c>
      <c r="J134" s="434" t="s">
        <v>690</v>
      </c>
      <c r="K134" s="434"/>
      <c r="L134" s="376"/>
      <c r="M134" s="288"/>
    </row>
    <row r="135" spans="1:14" s="5" customFormat="1" ht="24" customHeight="1" thickBot="1" x14ac:dyDescent="0.25">
      <c r="A135" s="575" t="s">
        <v>1513</v>
      </c>
      <c r="B135" s="449"/>
      <c r="C135" s="449"/>
      <c r="D135" s="450"/>
      <c r="E135" s="424" t="s">
        <v>557</v>
      </c>
      <c r="F135" s="448"/>
      <c r="G135" s="576"/>
      <c r="H135" s="577"/>
      <c r="I135" s="435"/>
      <c r="J135" s="435"/>
      <c r="K135" s="435"/>
      <c r="L135" s="376"/>
      <c r="M135" s="288"/>
    </row>
    <row r="136" spans="1:14" s="5" customFormat="1" ht="24" customHeight="1" thickBot="1" x14ac:dyDescent="0.25">
      <c r="A136" s="447" t="s">
        <v>686</v>
      </c>
      <c r="B136" s="449"/>
      <c r="C136" s="449"/>
      <c r="D136" s="450"/>
      <c r="E136" s="424" t="s">
        <v>557</v>
      </c>
      <c r="F136" s="448"/>
      <c r="G136" s="498"/>
      <c r="H136" s="499"/>
      <c r="I136" s="499"/>
      <c r="J136" s="499"/>
      <c r="K136" s="499"/>
      <c r="L136" s="376"/>
      <c r="M136" s="288"/>
    </row>
    <row r="137" spans="1:14" s="5" customFormat="1" ht="24" customHeight="1" thickBot="1" x14ac:dyDescent="0.25">
      <c r="A137" s="447" t="s">
        <v>687</v>
      </c>
      <c r="B137" s="449"/>
      <c r="C137" s="449"/>
      <c r="D137" s="450"/>
      <c r="E137" s="424" t="s">
        <v>557</v>
      </c>
      <c r="F137" s="448"/>
      <c r="G137" s="215" t="str">
        <f>E137</f>
        <v>Nein</v>
      </c>
      <c r="H137" s="620" t="s">
        <v>1358</v>
      </c>
      <c r="I137" s="621"/>
      <c r="J137" s="434"/>
      <c r="K137" s="434"/>
      <c r="L137" s="376"/>
      <c r="M137" s="288"/>
    </row>
    <row r="138" spans="1:14" s="5" customFormat="1" ht="24" customHeight="1" thickBot="1" x14ac:dyDescent="0.25">
      <c r="A138" s="447" t="s">
        <v>691</v>
      </c>
      <c r="B138" s="449"/>
      <c r="C138" s="449"/>
      <c r="D138" s="450"/>
      <c r="E138" s="623" t="s">
        <v>556</v>
      </c>
      <c r="F138" s="624"/>
      <c r="G138" s="625" t="s">
        <v>1827</v>
      </c>
      <c r="H138" s="626"/>
      <c r="I138" s="626"/>
      <c r="J138" s="626"/>
      <c r="K138" s="626"/>
      <c r="L138" s="376"/>
      <c r="M138" s="288"/>
    </row>
    <row r="139" spans="1:14" s="5" customFormat="1" ht="24" customHeight="1" thickBot="1" x14ac:dyDescent="0.25">
      <c r="A139" s="494" t="s">
        <v>1419</v>
      </c>
      <c r="B139" s="599"/>
      <c r="C139" s="610" t="s">
        <v>556</v>
      </c>
      <c r="D139" s="561"/>
      <c r="E139" s="492" t="s">
        <v>692</v>
      </c>
      <c r="F139" s="493"/>
      <c r="G139" s="553" t="s">
        <v>693</v>
      </c>
      <c r="H139" s="574"/>
      <c r="I139" s="550" t="s">
        <v>694</v>
      </c>
      <c r="J139" s="493"/>
      <c r="K139" s="364"/>
      <c r="L139" s="376"/>
      <c r="M139" s="288"/>
    </row>
    <row r="140" spans="1:14" s="5" customFormat="1" ht="15" thickBot="1" x14ac:dyDescent="0.25">
      <c r="A140" s="600"/>
      <c r="B140" s="601"/>
      <c r="C140" s="603" t="s">
        <v>1171</v>
      </c>
      <c r="D140" s="604"/>
      <c r="E140" s="627" t="s">
        <v>700</v>
      </c>
      <c r="F140" s="628"/>
      <c r="G140" s="627" t="s">
        <v>700</v>
      </c>
      <c r="H140" s="609"/>
      <c r="I140" s="611" t="s">
        <v>1834</v>
      </c>
      <c r="J140" s="612"/>
      <c r="K140" s="365"/>
      <c r="L140" s="376"/>
      <c r="M140" s="288"/>
    </row>
    <row r="141" spans="1:14" s="5" customFormat="1" ht="24" customHeight="1" thickBot="1" x14ac:dyDescent="0.25">
      <c r="A141" s="488"/>
      <c r="B141" s="602"/>
      <c r="C141" s="605"/>
      <c r="D141" s="606"/>
      <c r="E141" s="607" t="s">
        <v>1835</v>
      </c>
      <c r="F141" s="608"/>
      <c r="G141" s="608"/>
      <c r="H141" s="608"/>
      <c r="I141" s="608"/>
      <c r="J141" s="608"/>
      <c r="K141" s="609"/>
      <c r="L141" s="376"/>
      <c r="M141" s="288"/>
    </row>
    <row r="142" spans="1:14" s="5" customFormat="1" ht="24" customHeight="1" thickBot="1" x14ac:dyDescent="0.25">
      <c r="A142" s="447" t="s">
        <v>702</v>
      </c>
      <c r="B142" s="427"/>
      <c r="C142" s="427"/>
      <c r="D142" s="428"/>
      <c r="E142" s="471" t="s">
        <v>1781</v>
      </c>
      <c r="F142" s="472"/>
      <c r="G142" s="287" t="str">
        <f>E142</f>
        <v>Italienisch</v>
      </c>
      <c r="H142" s="499"/>
      <c r="I142" s="499"/>
      <c r="J142" s="499"/>
      <c r="K142" s="499"/>
      <c r="L142" s="376"/>
      <c r="M142" s="288"/>
    </row>
    <row r="143" spans="1:14" s="5" customFormat="1" ht="24" customHeight="1" thickBot="1" x14ac:dyDescent="0.25">
      <c r="A143" s="447" t="s">
        <v>701</v>
      </c>
      <c r="B143" s="427"/>
      <c r="C143" s="427"/>
      <c r="D143" s="428"/>
      <c r="E143" s="565" t="s">
        <v>706</v>
      </c>
      <c r="F143" s="629"/>
      <c r="G143" s="630" t="str">
        <f>IF(E143="Alu schwarz &amp; weiße Schrift","Mehrkosten! Lasern erforderlich / extra costs !!",IF(E143="Edelstahl silber &amp; schwarze Schrift","Mehrkosten! Lasern erforderlich + Mat. Kosten / Extra costs !!",IF(E143="Alu silber &amp; schwarze Schrift","Standard TG",)))</f>
        <v>Standard TG</v>
      </c>
      <c r="H143" s="631"/>
      <c r="I143" s="631"/>
      <c r="J143" s="631"/>
      <c r="K143" s="631"/>
      <c r="L143" s="376"/>
      <c r="M143" s="288"/>
    </row>
    <row r="144" spans="1:14" s="5" customFormat="1" ht="24" customHeight="1" thickBot="1" x14ac:dyDescent="0.25">
      <c r="A144" s="447" t="s">
        <v>732</v>
      </c>
      <c r="B144" s="427"/>
      <c r="C144" s="427"/>
      <c r="D144" s="428"/>
      <c r="E144" s="471" t="s">
        <v>557</v>
      </c>
      <c r="F144" s="472"/>
      <c r="G144" s="500"/>
      <c r="H144" s="501"/>
      <c r="I144" s="501"/>
      <c r="J144" s="501"/>
      <c r="K144" s="501"/>
      <c r="L144" s="380"/>
      <c r="M144" s="288"/>
      <c r="N144" s="2"/>
    </row>
    <row r="145" spans="1:14" s="5" customFormat="1" ht="24" customHeight="1" thickBot="1" x14ac:dyDescent="0.25">
      <c r="A145" s="447" t="s">
        <v>733</v>
      </c>
      <c r="B145" s="427"/>
      <c r="C145" s="427"/>
      <c r="D145" s="428"/>
      <c r="E145" s="595" t="s">
        <v>557</v>
      </c>
      <c r="F145" s="596"/>
      <c r="G145" s="597"/>
      <c r="H145" s="598"/>
      <c r="I145" s="501"/>
      <c r="J145" s="501"/>
      <c r="K145" s="501"/>
      <c r="L145" s="380"/>
      <c r="M145" s="288"/>
      <c r="N145" s="2"/>
    </row>
    <row r="146" spans="1:14" s="5" customFormat="1" ht="24" customHeight="1" thickBot="1" x14ac:dyDescent="0.25">
      <c r="A146" s="447" t="s">
        <v>757</v>
      </c>
      <c r="B146" s="427"/>
      <c r="C146" s="427"/>
      <c r="D146" s="427"/>
      <c r="E146" s="613" t="str">
        <f>CONCATENATE(LEFT(I5,4),D23)</f>
        <v>SAS 420</v>
      </c>
      <c r="F146" s="614"/>
      <c r="G146" s="562" t="s">
        <v>1705</v>
      </c>
      <c r="H146" s="563"/>
      <c r="I146" s="500" t="s">
        <v>1829</v>
      </c>
      <c r="J146" s="501"/>
      <c r="K146" s="501"/>
      <c r="L146" s="416" t="s">
        <v>1823</v>
      </c>
      <c r="M146" s="266"/>
      <c r="N146" s="2"/>
    </row>
    <row r="147" spans="1:14" s="5" customFormat="1" ht="24" customHeight="1" thickBot="1" x14ac:dyDescent="0.25">
      <c r="A147" s="463" t="s">
        <v>707</v>
      </c>
      <c r="B147" s="533"/>
      <c r="C147" s="533"/>
      <c r="D147" s="533"/>
      <c r="E147" s="555"/>
      <c r="F147" s="556"/>
      <c r="G147" s="557" t="s">
        <v>665</v>
      </c>
      <c r="H147" s="558"/>
      <c r="I147" s="464"/>
      <c r="J147" s="464"/>
      <c r="K147" s="464"/>
      <c r="L147" s="376"/>
      <c r="M147" s="288"/>
    </row>
    <row r="148" spans="1:14" s="5" customFormat="1" ht="24" customHeight="1" thickBot="1" x14ac:dyDescent="0.25">
      <c r="A148" s="494" t="s">
        <v>713</v>
      </c>
      <c r="B148" s="551"/>
      <c r="C148" s="492" t="s">
        <v>710</v>
      </c>
      <c r="D148" s="553"/>
      <c r="E148" s="554"/>
      <c r="F148" s="444"/>
      <c r="G148" s="492" t="s">
        <v>708</v>
      </c>
      <c r="H148" s="574"/>
      <c r="I148" s="550" t="s">
        <v>709</v>
      </c>
      <c r="J148" s="493"/>
      <c r="K148" s="366" t="s">
        <v>714</v>
      </c>
      <c r="L148" s="376"/>
      <c r="M148" s="288"/>
    </row>
    <row r="149" spans="1:14" s="5" customFormat="1" ht="24" customHeight="1" thickBot="1" x14ac:dyDescent="0.25">
      <c r="A149" s="496"/>
      <c r="B149" s="552"/>
      <c r="C149" s="587" t="s">
        <v>1559</v>
      </c>
      <c r="D149" s="588"/>
      <c r="E149" s="588"/>
      <c r="F149" s="589"/>
      <c r="G149" s="615" t="s">
        <v>1369</v>
      </c>
      <c r="H149" s="549"/>
      <c r="I149" s="548" t="s">
        <v>712</v>
      </c>
      <c r="J149" s="549"/>
      <c r="K149" s="417" t="s">
        <v>1822</v>
      </c>
      <c r="L149" s="416" t="s">
        <v>1832</v>
      </c>
      <c r="M149" s="288"/>
    </row>
    <row r="150" spans="1:14" s="5" customFormat="1" ht="24" customHeight="1" thickBot="1" x14ac:dyDescent="0.25">
      <c r="A150" s="463" t="s">
        <v>715</v>
      </c>
      <c r="B150" s="533"/>
      <c r="C150" s="533"/>
      <c r="D150" s="533"/>
      <c r="E150" s="534"/>
      <c r="F150" s="535"/>
      <c r="G150" s="463" t="s">
        <v>665</v>
      </c>
      <c r="H150" s="464"/>
      <c r="I150" s="564"/>
      <c r="J150" s="564"/>
      <c r="K150" s="564"/>
      <c r="L150" s="376"/>
      <c r="M150" s="288"/>
    </row>
    <row r="151" spans="1:14" s="5" customFormat="1" ht="24" customHeight="1" thickBot="1" x14ac:dyDescent="0.25">
      <c r="A151" s="447" t="s">
        <v>716</v>
      </c>
      <c r="B151" s="427"/>
      <c r="C151" s="569"/>
      <c r="D151" s="569"/>
      <c r="E151" s="565" t="s">
        <v>1414</v>
      </c>
      <c r="F151" s="566"/>
      <c r="G151" s="566"/>
      <c r="H151" s="566"/>
      <c r="I151" s="593" t="s">
        <v>1812</v>
      </c>
      <c r="J151" s="594"/>
      <c r="K151" s="594"/>
      <c r="L151" s="376"/>
      <c r="M151" s="288"/>
    </row>
    <row r="152" spans="1:14" s="5" customFormat="1" ht="50.25" customHeight="1" thickBot="1" x14ac:dyDescent="0.25">
      <c r="A152" s="447" t="s">
        <v>717</v>
      </c>
      <c r="B152" s="427"/>
      <c r="C152" s="427"/>
      <c r="D152" s="428"/>
      <c r="E152" s="471" t="s">
        <v>1414</v>
      </c>
      <c r="F152" s="622"/>
      <c r="G152" s="622"/>
      <c r="H152" s="622"/>
      <c r="I152" s="578" t="s">
        <v>1839</v>
      </c>
      <c r="J152" s="592"/>
      <c r="K152" s="592"/>
      <c r="L152" s="380"/>
      <c r="M152" s="288"/>
      <c r="N152" s="2"/>
    </row>
    <row r="153" spans="1:14" s="5" customFormat="1" ht="24" customHeight="1" thickBot="1" x14ac:dyDescent="0.25">
      <c r="A153" s="447" t="s">
        <v>1101</v>
      </c>
      <c r="B153" s="427"/>
      <c r="C153" s="427"/>
      <c r="D153" s="428"/>
      <c r="E153" s="471" t="s">
        <v>1412</v>
      </c>
      <c r="F153" s="472"/>
      <c r="G153" s="498"/>
      <c r="H153" s="499"/>
      <c r="I153" s="571"/>
      <c r="J153" s="571"/>
      <c r="K153" s="571"/>
      <c r="L153" s="380"/>
      <c r="M153" s="288"/>
      <c r="N153" s="2"/>
    </row>
    <row r="154" spans="1:14" s="5" customFormat="1" ht="24" customHeight="1" thickBot="1" x14ac:dyDescent="0.25">
      <c r="A154" s="447" t="s">
        <v>718</v>
      </c>
      <c r="B154" s="427"/>
      <c r="C154" s="427"/>
      <c r="D154" s="428"/>
      <c r="E154" s="471" t="s">
        <v>557</v>
      </c>
      <c r="F154" s="472"/>
      <c r="G154" s="253" t="s">
        <v>723</v>
      </c>
      <c r="H154" s="570"/>
      <c r="I154" s="571"/>
      <c r="J154" s="571"/>
      <c r="K154" s="571"/>
      <c r="L154" s="380"/>
      <c r="M154" s="288"/>
    </row>
    <row r="155" spans="1:14" s="5" customFormat="1" ht="24" customHeight="1" thickBot="1" x14ac:dyDescent="0.25">
      <c r="A155" s="447" t="s">
        <v>719</v>
      </c>
      <c r="B155" s="427"/>
      <c r="C155" s="427"/>
      <c r="D155" s="428"/>
      <c r="E155" s="562" t="str">
        <f>G142</f>
        <v>Italienisch</v>
      </c>
      <c r="F155" s="563"/>
      <c r="G155" s="567" t="s">
        <v>720</v>
      </c>
      <c r="H155" s="568"/>
      <c r="I155" s="498" t="s">
        <v>4</v>
      </c>
      <c r="J155" s="499"/>
      <c r="K155" s="499"/>
      <c r="L155" s="376"/>
      <c r="M155" s="288"/>
    </row>
    <row r="156" spans="1:14" s="5" customFormat="1" ht="30.75" customHeight="1" thickBot="1" x14ac:dyDescent="0.25">
      <c r="A156" s="447" t="s">
        <v>721</v>
      </c>
      <c r="B156" s="427"/>
      <c r="C156" s="427"/>
      <c r="D156" s="428"/>
      <c r="E156" s="424" t="s">
        <v>556</v>
      </c>
      <c r="F156" s="448"/>
      <c r="G156" s="590" t="str">
        <f>IF(E156="Ja","Nur für Rahmenvertragswandler- oder mit erh. Mehraufwand zu generieren! / Only for Frame Contracts available + huge additional costs! ",IF(E156="Nein","Standard Handbuch wird erstellt! / Standard Manual will be provided",))</f>
        <v xml:space="preserve">Nur für Rahmenvertragswandler- oder mit erh. Mehraufwand zu generieren! / Only for Frame Contracts available + huge additional costs! </v>
      </c>
      <c r="H156" s="591"/>
      <c r="I156" s="591"/>
      <c r="J156" s="591"/>
      <c r="K156" s="591"/>
      <c r="L156" s="376"/>
      <c r="M156" s="288"/>
    </row>
    <row r="157" spans="1:14" s="5" customFormat="1" ht="24" customHeight="1" thickBot="1" x14ac:dyDescent="0.25">
      <c r="A157" s="486" t="s">
        <v>725</v>
      </c>
      <c r="B157" s="487"/>
      <c r="C157" s="471" t="s">
        <v>557</v>
      </c>
      <c r="D157" s="472"/>
      <c r="E157" s="561" t="s">
        <v>557</v>
      </c>
      <c r="F157" s="561"/>
      <c r="G157" s="471" t="s">
        <v>557</v>
      </c>
      <c r="H157" s="472"/>
      <c r="I157" s="559" t="s">
        <v>731</v>
      </c>
      <c r="J157" s="560"/>
      <c r="K157" s="560"/>
      <c r="L157" s="376"/>
      <c r="M157" s="288"/>
    </row>
    <row r="158" spans="1:14" s="5" customFormat="1" ht="24" customHeight="1" thickBot="1" x14ac:dyDescent="0.25">
      <c r="A158" s="488"/>
      <c r="B158" s="489"/>
      <c r="C158" s="545"/>
      <c r="D158" s="546"/>
      <c r="E158" s="545"/>
      <c r="F158" s="546"/>
      <c r="G158" s="547"/>
      <c r="H158" s="547"/>
      <c r="I158" s="545"/>
      <c r="J158" s="547"/>
      <c r="K158" s="547"/>
      <c r="L158" s="376"/>
      <c r="M158" s="288"/>
    </row>
    <row r="159" spans="1:14" s="5" customFormat="1" ht="24" customHeight="1" thickBot="1" x14ac:dyDescent="0.25">
      <c r="A159" s="463" t="s">
        <v>968</v>
      </c>
      <c r="B159" s="533"/>
      <c r="C159" s="533"/>
      <c r="D159" s="533"/>
      <c r="E159" s="533"/>
      <c r="F159" s="759"/>
      <c r="G159" s="463"/>
      <c r="H159" s="464"/>
      <c r="I159" s="464"/>
      <c r="J159" s="464"/>
      <c r="K159" s="464"/>
      <c r="L159" s="376"/>
      <c r="M159" s="288"/>
    </row>
    <row r="160" spans="1:14" ht="409.5" customHeight="1" thickBot="1" x14ac:dyDescent="0.25">
      <c r="A160" s="770" t="s">
        <v>1846</v>
      </c>
      <c r="B160" s="771"/>
      <c r="C160" s="771"/>
      <c r="D160" s="771"/>
      <c r="E160" s="771"/>
      <c r="F160" s="771"/>
      <c r="G160" s="771"/>
      <c r="H160" s="771"/>
      <c r="I160" s="771"/>
      <c r="J160" s="771"/>
      <c r="K160" s="771"/>
      <c r="L160" s="421" t="s">
        <v>1845</v>
      </c>
      <c r="M160" s="266"/>
    </row>
    <row r="161" spans="1:13" s="5" customFormat="1" ht="315" customHeight="1" x14ac:dyDescent="0.2">
      <c r="A161" s="292"/>
      <c r="B161" s="293"/>
      <c r="C161" s="293"/>
      <c r="D161" s="293"/>
      <c r="E161" s="293"/>
      <c r="F161" s="293"/>
      <c r="G161" s="293"/>
      <c r="H161" s="294"/>
      <c r="I161" s="294"/>
      <c r="J161" s="294"/>
      <c r="K161" s="295"/>
      <c r="M161" s="288"/>
    </row>
    <row r="162" spans="1:13" s="5" customFormat="1" ht="22.15" customHeight="1" x14ac:dyDescent="0.2">
      <c r="A162" s="6"/>
      <c r="B162" s="6"/>
      <c r="C162" s="6"/>
      <c r="D162" s="7"/>
      <c r="E162" s="6"/>
      <c r="F162" s="6"/>
      <c r="G162" s="6"/>
      <c r="H162" s="6"/>
      <c r="I162" s="6"/>
      <c r="J162" s="6"/>
      <c r="K162" s="6"/>
    </row>
    <row r="163" spans="1:13" x14ac:dyDescent="0.2">
      <c r="A163" s="5"/>
      <c r="B163" s="3"/>
      <c r="C163" s="3"/>
      <c r="D163" s="4"/>
      <c r="E163" s="3"/>
      <c r="F163" s="3"/>
      <c r="G163" s="3"/>
      <c r="H163" s="3"/>
      <c r="I163" s="3"/>
      <c r="J163" s="3"/>
      <c r="K163" s="3"/>
    </row>
    <row r="164" spans="1:13" x14ac:dyDescent="0.2">
      <c r="A164" s="5"/>
      <c r="B164" s="5"/>
      <c r="C164" s="5"/>
      <c r="D164" s="5"/>
      <c r="E164" s="5"/>
      <c r="F164" s="5"/>
      <c r="G164" s="5"/>
      <c r="H164" s="5"/>
      <c r="I164" s="5"/>
      <c r="J164" s="5"/>
      <c r="K164" s="5"/>
    </row>
  </sheetData>
  <sheetProtection algorithmName="SHA-512" hashValue="rfyeY2L2t2+hsXV2T+I4S8xXkOxrMv0CFCtE0sRI32zDHY/e9VUZFQfmQuK+Qnwx8QY1TX9G7a558vdK+2VX/A==" saltValue="LuBmXg2jqlcQR6+bMPeIMQ==" spinCount="100000" sheet="1" formatCells="0" formatRows="0" selectLockedCells="1"/>
  <dataConsolidate function="varp"/>
  <mergeCells count="421">
    <mergeCell ref="I84:I85"/>
    <mergeCell ref="A81:B102"/>
    <mergeCell ref="F80:F81"/>
    <mergeCell ref="G103:G104"/>
    <mergeCell ref="E84:E85"/>
    <mergeCell ref="D82:D83"/>
    <mergeCell ref="I82:I83"/>
    <mergeCell ref="E42:F42"/>
    <mergeCell ref="A44:D44"/>
    <mergeCell ref="G42:K42"/>
    <mergeCell ref="H74:H75"/>
    <mergeCell ref="J74:J75"/>
    <mergeCell ref="G45:K45"/>
    <mergeCell ref="D50:I50"/>
    <mergeCell ref="A56:B56"/>
    <mergeCell ref="A54:B54"/>
    <mergeCell ref="D62:D63"/>
    <mergeCell ref="E62:E63"/>
    <mergeCell ref="F62:F63"/>
    <mergeCell ref="A52:B52"/>
    <mergeCell ref="J59:K59"/>
    <mergeCell ref="G44:K44"/>
    <mergeCell ref="J53:K55"/>
    <mergeCell ref="A64:C65"/>
    <mergeCell ref="G159:K159"/>
    <mergeCell ref="K84:K85"/>
    <mergeCell ref="A123:D123"/>
    <mergeCell ref="A110:D110"/>
    <mergeCell ref="E122:F122"/>
    <mergeCell ref="A78:B78"/>
    <mergeCell ref="E110:F110"/>
    <mergeCell ref="G110:K110"/>
    <mergeCell ref="A107:F107"/>
    <mergeCell ref="G90:G91"/>
    <mergeCell ref="G116:K116"/>
    <mergeCell ref="A114:D114"/>
    <mergeCell ref="A109:D109"/>
    <mergeCell ref="G118:K118"/>
    <mergeCell ref="F92:F93"/>
    <mergeCell ref="G92:G93"/>
    <mergeCell ref="E118:F118"/>
    <mergeCell ref="J84:J85"/>
    <mergeCell ref="H92:H93"/>
    <mergeCell ref="E120:F120"/>
    <mergeCell ref="A80:B80"/>
    <mergeCell ref="E80:E81"/>
    <mergeCell ref="A79:B79"/>
    <mergeCell ref="K80:K81"/>
    <mergeCell ref="A160:K160"/>
    <mergeCell ref="C5:D5"/>
    <mergeCell ref="I5:K5"/>
    <mergeCell ref="A144:D144"/>
    <mergeCell ref="E144:F144"/>
    <mergeCell ref="G144:K144"/>
    <mergeCell ref="A127:D128"/>
    <mergeCell ref="E127:F128"/>
    <mergeCell ref="G128:K128"/>
    <mergeCell ref="G140:H140"/>
    <mergeCell ref="A130:D130"/>
    <mergeCell ref="E130:F130"/>
    <mergeCell ref="A131:D131"/>
    <mergeCell ref="E131:F131"/>
    <mergeCell ref="A132:D132"/>
    <mergeCell ref="E132:F132"/>
    <mergeCell ref="I120:J120"/>
    <mergeCell ref="I121:J121"/>
    <mergeCell ref="H90:H91"/>
    <mergeCell ref="J20:K20"/>
    <mergeCell ref="A159:F159"/>
    <mergeCell ref="E37:F37"/>
    <mergeCell ref="A39:D39"/>
    <mergeCell ref="E43:F43"/>
    <mergeCell ref="C3:D3"/>
    <mergeCell ref="C6:K6"/>
    <mergeCell ref="E23:F23"/>
    <mergeCell ref="A9:K9"/>
    <mergeCell ref="G7:K7"/>
    <mergeCell ref="G124:K124"/>
    <mergeCell ref="G126:K126"/>
    <mergeCell ref="G127:K127"/>
    <mergeCell ref="A126:F126"/>
    <mergeCell ref="A124:D124"/>
    <mergeCell ref="E124:F124"/>
    <mergeCell ref="G123:K123"/>
    <mergeCell ref="A122:D122"/>
    <mergeCell ref="A117:D117"/>
    <mergeCell ref="E117:F117"/>
    <mergeCell ref="G117:K117"/>
    <mergeCell ref="E82:E83"/>
    <mergeCell ref="F82:F83"/>
    <mergeCell ref="H82:H83"/>
    <mergeCell ref="A18:B18"/>
    <mergeCell ref="G121:H121"/>
    <mergeCell ref="I74:I75"/>
    <mergeCell ref="E121:F121"/>
    <mergeCell ref="G23:H23"/>
    <mergeCell ref="A2:B2"/>
    <mergeCell ref="A69:K69"/>
    <mergeCell ref="A67:K67"/>
    <mergeCell ref="A24:B24"/>
    <mergeCell ref="E25:F25"/>
    <mergeCell ref="G24:H24"/>
    <mergeCell ref="C26:D26"/>
    <mergeCell ref="A25:B25"/>
    <mergeCell ref="G26:H26"/>
    <mergeCell ref="C25:D25"/>
    <mergeCell ref="G25:H25"/>
    <mergeCell ref="E2:F2"/>
    <mergeCell ref="E4:F4"/>
    <mergeCell ref="E7:F7"/>
    <mergeCell ref="C2:D2"/>
    <mergeCell ref="A6:B6"/>
    <mergeCell ref="A3:B3"/>
    <mergeCell ref="B15:E15"/>
    <mergeCell ref="G2:H2"/>
    <mergeCell ref="C18:E18"/>
    <mergeCell ref="E44:F44"/>
    <mergeCell ref="G27:H27"/>
    <mergeCell ref="G41:K41"/>
    <mergeCell ref="A33:K33"/>
    <mergeCell ref="A43:D43"/>
    <mergeCell ref="G38:K38"/>
    <mergeCell ref="J108:K108"/>
    <mergeCell ref="I90:I91"/>
    <mergeCell ref="G82:G83"/>
    <mergeCell ref="A103:C103"/>
    <mergeCell ref="A104:C104"/>
    <mergeCell ref="I103:I104"/>
    <mergeCell ref="E103:E104"/>
    <mergeCell ref="G107:K107"/>
    <mergeCell ref="F84:F85"/>
    <mergeCell ref="E90:E91"/>
    <mergeCell ref="J103:J104"/>
    <mergeCell ref="A106:K106"/>
    <mergeCell ref="D84:D85"/>
    <mergeCell ref="E38:F38"/>
    <mergeCell ref="E39:F39"/>
    <mergeCell ref="A70:B70"/>
    <mergeCell ref="A71:B71"/>
    <mergeCell ref="A42:D42"/>
    <mergeCell ref="G84:G85"/>
    <mergeCell ref="J52:K52"/>
    <mergeCell ref="H84:H85"/>
    <mergeCell ref="J60:K65"/>
    <mergeCell ref="A1:K1"/>
    <mergeCell ref="C60:C61"/>
    <mergeCell ref="A50:B51"/>
    <mergeCell ref="C50:C51"/>
    <mergeCell ref="E3:H3"/>
    <mergeCell ref="J3:K3"/>
    <mergeCell ref="J4:K4"/>
    <mergeCell ref="A5:B5"/>
    <mergeCell ref="E5:F5"/>
    <mergeCell ref="G5:H5"/>
    <mergeCell ref="A4:B4"/>
    <mergeCell ref="C4:D4"/>
    <mergeCell ref="G4:H4"/>
    <mergeCell ref="J2:K2"/>
    <mergeCell ref="A7:D7"/>
    <mergeCell ref="A20:B20"/>
    <mergeCell ref="C20:D20"/>
    <mergeCell ref="E20:F20"/>
    <mergeCell ref="G20:H20"/>
    <mergeCell ref="C29:K29"/>
    <mergeCell ref="E41:F41"/>
    <mergeCell ref="F18:G18"/>
    <mergeCell ref="J27:K27"/>
    <mergeCell ref="A49:K49"/>
    <mergeCell ref="G62:G63"/>
    <mergeCell ref="I62:I63"/>
    <mergeCell ref="F64:F65"/>
    <mergeCell ref="A53:B53"/>
    <mergeCell ref="A63:C63"/>
    <mergeCell ref="A62:C62"/>
    <mergeCell ref="A61:B61"/>
    <mergeCell ref="H64:H65"/>
    <mergeCell ref="A60:B60"/>
    <mergeCell ref="A59:B59"/>
    <mergeCell ref="A58:B58"/>
    <mergeCell ref="D64:E65"/>
    <mergeCell ref="D70:K70"/>
    <mergeCell ref="A55:B55"/>
    <mergeCell ref="G64:G65"/>
    <mergeCell ref="F74:F75"/>
    <mergeCell ref="A74:B74"/>
    <mergeCell ref="J76:J77"/>
    <mergeCell ref="K76:K77"/>
    <mergeCell ref="E74:E75"/>
    <mergeCell ref="A75:B75"/>
    <mergeCell ref="A73:B73"/>
    <mergeCell ref="H76:H77"/>
    <mergeCell ref="D76:D77"/>
    <mergeCell ref="K74:K75"/>
    <mergeCell ref="E76:E77"/>
    <mergeCell ref="D74:D75"/>
    <mergeCell ref="G74:G75"/>
    <mergeCell ref="K72:K73"/>
    <mergeCell ref="I76:I77"/>
    <mergeCell ref="A76:B76"/>
    <mergeCell ref="F76:F77"/>
    <mergeCell ref="G76:G77"/>
    <mergeCell ref="A57:B57"/>
    <mergeCell ref="I64:I65"/>
    <mergeCell ref="H62:H63"/>
    <mergeCell ref="G111:K111"/>
    <mergeCell ref="E129:F129"/>
    <mergeCell ref="K94:K96"/>
    <mergeCell ref="A108:D108"/>
    <mergeCell ref="E108:F108"/>
    <mergeCell ref="D92:D93"/>
    <mergeCell ref="D103:D104"/>
    <mergeCell ref="A105:K105"/>
    <mergeCell ref="E109:F109"/>
    <mergeCell ref="G112:K112"/>
    <mergeCell ref="C121:D121"/>
    <mergeCell ref="G122:H122"/>
    <mergeCell ref="I122:K122"/>
    <mergeCell ref="A116:D116"/>
    <mergeCell ref="E116:F116"/>
    <mergeCell ref="A118:D118"/>
    <mergeCell ref="E113:F113"/>
    <mergeCell ref="G113:K113"/>
    <mergeCell ref="G115:K115"/>
    <mergeCell ref="H114:I114"/>
    <mergeCell ref="E123:F123"/>
    <mergeCell ref="A138:D138"/>
    <mergeCell ref="E134:F134"/>
    <mergeCell ref="G133:K133"/>
    <mergeCell ref="H137:I137"/>
    <mergeCell ref="E155:F155"/>
    <mergeCell ref="E152:H152"/>
    <mergeCell ref="E136:F136"/>
    <mergeCell ref="G136:K136"/>
    <mergeCell ref="A152:D152"/>
    <mergeCell ref="A154:D154"/>
    <mergeCell ref="E154:F154"/>
    <mergeCell ref="A146:D146"/>
    <mergeCell ref="E138:F138"/>
    <mergeCell ref="G138:K138"/>
    <mergeCell ref="E140:F140"/>
    <mergeCell ref="A143:D143"/>
    <mergeCell ref="E143:F143"/>
    <mergeCell ref="G143:K143"/>
    <mergeCell ref="A142:D142"/>
    <mergeCell ref="A153:D153"/>
    <mergeCell ref="G153:K153"/>
    <mergeCell ref="G156:K156"/>
    <mergeCell ref="I155:K155"/>
    <mergeCell ref="I152:K152"/>
    <mergeCell ref="I151:K151"/>
    <mergeCell ref="A155:D155"/>
    <mergeCell ref="E153:F153"/>
    <mergeCell ref="J137:K137"/>
    <mergeCell ref="A137:D137"/>
    <mergeCell ref="I146:K146"/>
    <mergeCell ref="A145:D145"/>
    <mergeCell ref="E145:F145"/>
    <mergeCell ref="G145:K145"/>
    <mergeCell ref="I139:J139"/>
    <mergeCell ref="E139:F139"/>
    <mergeCell ref="A139:B141"/>
    <mergeCell ref="C140:D141"/>
    <mergeCell ref="E141:K141"/>
    <mergeCell ref="C139:D139"/>
    <mergeCell ref="G139:H139"/>
    <mergeCell ref="I140:J140"/>
    <mergeCell ref="E146:F146"/>
    <mergeCell ref="E142:F142"/>
    <mergeCell ref="E137:F137"/>
    <mergeCell ref="G149:H149"/>
    <mergeCell ref="J82:J83"/>
    <mergeCell ref="I80:I81"/>
    <mergeCell ref="K90:K91"/>
    <mergeCell ref="F90:F91"/>
    <mergeCell ref="A150:F150"/>
    <mergeCell ref="G148:H148"/>
    <mergeCell ref="G132:K132"/>
    <mergeCell ref="A135:D135"/>
    <mergeCell ref="A133:D133"/>
    <mergeCell ref="E133:F133"/>
    <mergeCell ref="G130:K130"/>
    <mergeCell ref="E135:F135"/>
    <mergeCell ref="G135:K135"/>
    <mergeCell ref="G134:H134"/>
    <mergeCell ref="G131:K131"/>
    <mergeCell ref="J134:K134"/>
    <mergeCell ref="A112:D112"/>
    <mergeCell ref="E112:F112"/>
    <mergeCell ref="K82:K83"/>
    <mergeCell ref="A136:D136"/>
    <mergeCell ref="G129:K129"/>
    <mergeCell ref="A129:D129"/>
    <mergeCell ref="A134:D134"/>
    <mergeCell ref="C149:F149"/>
    <mergeCell ref="A157:B158"/>
    <mergeCell ref="C157:D157"/>
    <mergeCell ref="G157:H157"/>
    <mergeCell ref="C158:D158"/>
    <mergeCell ref="G158:H158"/>
    <mergeCell ref="H142:K142"/>
    <mergeCell ref="I149:J149"/>
    <mergeCell ref="I148:J148"/>
    <mergeCell ref="A148:B149"/>
    <mergeCell ref="C148:F148"/>
    <mergeCell ref="A147:F147"/>
    <mergeCell ref="G147:K147"/>
    <mergeCell ref="I157:K157"/>
    <mergeCell ref="I158:K158"/>
    <mergeCell ref="E158:F158"/>
    <mergeCell ref="E157:F157"/>
    <mergeCell ref="G146:H146"/>
    <mergeCell ref="G150:K150"/>
    <mergeCell ref="E151:H151"/>
    <mergeCell ref="A156:D156"/>
    <mergeCell ref="E156:F156"/>
    <mergeCell ref="G155:H155"/>
    <mergeCell ref="A151:D151"/>
    <mergeCell ref="H154:K154"/>
    <mergeCell ref="A21:K21"/>
    <mergeCell ref="A22:B22"/>
    <mergeCell ref="A26:B26"/>
    <mergeCell ref="J24:K24"/>
    <mergeCell ref="J22:K22"/>
    <mergeCell ref="E26:F26"/>
    <mergeCell ref="E24:F24"/>
    <mergeCell ref="A35:F35"/>
    <mergeCell ref="C22:D22"/>
    <mergeCell ref="E22:F22"/>
    <mergeCell ref="G22:H22"/>
    <mergeCell ref="A23:B23"/>
    <mergeCell ref="J23:K23"/>
    <mergeCell ref="D28:F28"/>
    <mergeCell ref="F12:G12"/>
    <mergeCell ref="I12:J12"/>
    <mergeCell ref="I11:J11"/>
    <mergeCell ref="F11:G11"/>
    <mergeCell ref="B12:E12"/>
    <mergeCell ref="B16:E16"/>
    <mergeCell ref="F16:G16"/>
    <mergeCell ref="I16:J16"/>
    <mergeCell ref="B14:E14"/>
    <mergeCell ref="F14:G14"/>
    <mergeCell ref="I14:J14"/>
    <mergeCell ref="B11:E11"/>
    <mergeCell ref="I15:J15"/>
    <mergeCell ref="F13:G13"/>
    <mergeCell ref="I13:J13"/>
    <mergeCell ref="B13:E13"/>
    <mergeCell ref="F15:G15"/>
    <mergeCell ref="M9:M11"/>
    <mergeCell ref="A46:B47"/>
    <mergeCell ref="A45:D45"/>
    <mergeCell ref="E45:F45"/>
    <mergeCell ref="G120:H120"/>
    <mergeCell ref="A120:B121"/>
    <mergeCell ref="A119:D119"/>
    <mergeCell ref="C120:D120"/>
    <mergeCell ref="G119:K119"/>
    <mergeCell ref="E119:F119"/>
    <mergeCell ref="G28:H28"/>
    <mergeCell ref="G36:K36"/>
    <mergeCell ref="G37:K37"/>
    <mergeCell ref="G40:K40"/>
    <mergeCell ref="G39:K39"/>
    <mergeCell ref="G43:K43"/>
    <mergeCell ref="A27:B27"/>
    <mergeCell ref="C27:D27"/>
    <mergeCell ref="E27:F27"/>
    <mergeCell ref="A40:D40"/>
    <mergeCell ref="D10:E10"/>
    <mergeCell ref="A10:C10"/>
    <mergeCell ref="A77:B77"/>
    <mergeCell ref="J80:J81"/>
    <mergeCell ref="A8:D8"/>
    <mergeCell ref="E8:F8"/>
    <mergeCell ref="G8:K8"/>
    <mergeCell ref="J26:K26"/>
    <mergeCell ref="F17:G17"/>
    <mergeCell ref="B17:E17"/>
    <mergeCell ref="I17:J17"/>
    <mergeCell ref="A19:K19"/>
    <mergeCell ref="A41:D41"/>
    <mergeCell ref="G35:K35"/>
    <mergeCell ref="I28:K28"/>
    <mergeCell ref="J25:K25"/>
    <mergeCell ref="A34:K34"/>
    <mergeCell ref="E40:F40"/>
    <mergeCell ref="A30:K30"/>
    <mergeCell ref="A31:K31"/>
    <mergeCell ref="A32:K32"/>
    <mergeCell ref="E36:F36"/>
    <mergeCell ref="A37:D37"/>
    <mergeCell ref="A28:B28"/>
    <mergeCell ref="A36:D36"/>
    <mergeCell ref="A38:D38"/>
    <mergeCell ref="G10:K10"/>
    <mergeCell ref="A29:B29"/>
    <mergeCell ref="C47:D47"/>
    <mergeCell ref="E114:F114"/>
    <mergeCell ref="A115:D115"/>
    <mergeCell ref="F103:F104"/>
    <mergeCell ref="D90:D91"/>
    <mergeCell ref="E92:E93"/>
    <mergeCell ref="K92:K93"/>
    <mergeCell ref="J92:J93"/>
    <mergeCell ref="I92:I93"/>
    <mergeCell ref="G109:K109"/>
    <mergeCell ref="K103:K104"/>
    <mergeCell ref="H103:H104"/>
    <mergeCell ref="J90:J91"/>
    <mergeCell ref="J114:K114"/>
    <mergeCell ref="E115:F115"/>
    <mergeCell ref="A113:D113"/>
    <mergeCell ref="A66:K66"/>
    <mergeCell ref="G80:G81"/>
    <mergeCell ref="H80:H81"/>
    <mergeCell ref="H108:I108"/>
    <mergeCell ref="D80:D81"/>
    <mergeCell ref="K78:K79"/>
    <mergeCell ref="A111:D111"/>
    <mergeCell ref="E111:F111"/>
  </mergeCells>
  <phoneticPr fontId="1" type="noConversion"/>
  <conditionalFormatting sqref="E108:F108">
    <cfRule type="containsText" dxfId="532" priority="374" operator="containsText" text="Manometer">
      <formula>NOT(ISERROR(SEARCH("Manometer",E108)))</formula>
    </cfRule>
    <cfRule type="containsText" dxfId="531" priority="375" operator="containsText" text="mit / with transmitter">
      <formula>NOT(ISERROR(SEARCH("mit / with transmitter",E108)))</formula>
    </cfRule>
  </conditionalFormatting>
  <conditionalFormatting sqref="E110">
    <cfRule type="containsText" dxfId="530" priority="372" operator="containsText" text="3">
      <formula>NOT(ISERROR(SEARCH("3",E110)))</formula>
    </cfRule>
    <cfRule type="containsText" dxfId="529" priority="373" operator="containsText" text="1">
      <formula>NOT(ISERROR(SEARCH("1",E110)))</formula>
    </cfRule>
  </conditionalFormatting>
  <conditionalFormatting sqref="E111:F111 E48:F48">
    <cfRule type="containsText" dxfId="528" priority="355" operator="containsText" text="Ja">
      <formula>NOT(ISERROR(SEARCH("Ja",E48)))</formula>
    </cfRule>
  </conditionalFormatting>
  <conditionalFormatting sqref="E112:F112">
    <cfRule type="containsText" dxfId="527" priority="354" operator="containsText" text="Ja">
      <formula>NOT(ISERROR(SEARCH("Ja",E112)))</formula>
    </cfRule>
  </conditionalFormatting>
  <conditionalFormatting sqref="E113:F113">
    <cfRule type="containsText" dxfId="526" priority="353" operator="containsText" text="Nein">
      <formula>NOT(ISERROR(SEARCH("Nein",E113)))</formula>
    </cfRule>
  </conditionalFormatting>
  <conditionalFormatting sqref="E114:F114">
    <cfRule type="containsText" dxfId="525" priority="352" operator="containsText" text="Ja">
      <formula>NOT(ISERROR(SEARCH("Ja",E114)))</formula>
    </cfRule>
  </conditionalFormatting>
  <conditionalFormatting sqref="E115">
    <cfRule type="containsText" dxfId="524" priority="348" operator="containsText" text="Öffnend">
      <formula>NOT(ISERROR(SEARCH("Öffnend",E115)))</formula>
    </cfRule>
    <cfRule type="containsText" dxfId="523" priority="349" operator="containsText" text="Wechslend">
      <formula>NOT(ISERROR(SEARCH("Wechslend",E115)))</formula>
    </cfRule>
  </conditionalFormatting>
  <conditionalFormatting sqref="E116:F116">
    <cfRule type="expression" dxfId="522" priority="8">
      <formula>$E$116="Trafag"</formula>
    </cfRule>
    <cfRule type="containsText" dxfId="521" priority="344" operator="containsText" text="EMD">
      <formula>NOT(ISERROR(SEARCH("EMD",E116)))</formula>
    </cfRule>
    <cfRule type="containsText" dxfId="520" priority="345" operator="containsText" text="LANSO">
      <formula>NOT(ISERROR(SEARCH("LANSO",E116)))</formula>
    </cfRule>
    <cfRule type="containsText" dxfId="519" priority="346" operator="containsText" text="WIKA">
      <formula>NOT(ISERROR(SEARCH("WIKA",E116)))</formula>
    </cfRule>
    <cfRule type="containsText" dxfId="518" priority="347" operator="containsText" text="COMDE">
      <formula>NOT(ISERROR(SEARCH("COMDE",E116)))</formula>
    </cfRule>
  </conditionalFormatting>
  <conditionalFormatting sqref="E118:F118">
    <cfRule type="containsText" dxfId="517" priority="339" operator="containsText" text="Ja">
      <formula>NOT(ISERROR(SEARCH("Ja",E118)))</formula>
    </cfRule>
  </conditionalFormatting>
  <conditionalFormatting sqref="E119:F119">
    <cfRule type="containsText" dxfId="516" priority="334" operator="containsText" text="Clean Air">
      <formula>NOT(ISERROR(SEARCH("Clean Air",E119)))</formula>
    </cfRule>
    <cfRule type="containsText" dxfId="515" priority="335" operator="containsText" text="45% SF6 / 55% N2">
      <formula>NOT(ISERROR(SEARCH("45% SF6 / 55% N2",E119)))</formula>
    </cfRule>
    <cfRule type="containsText" dxfId="514" priority="336" operator="containsText" text="50% SF6 / 50% N2">
      <formula>NOT(ISERROR(SEARCH("50% SF6 / 50% N2",E119)))</formula>
    </cfRule>
    <cfRule type="containsText" dxfId="513" priority="337" operator="containsText" text="80% SF6 / 20% N2">
      <formula>NOT(ISERROR(SEARCH("80% SF6 / 20% N2",E119)))</formula>
    </cfRule>
    <cfRule type="containsText" dxfId="512" priority="338" operator="containsText" text="60% SF6 / 40% N2">
      <formula>NOT(ISERROR(SEARCH("60% SF6 / 40% N2",E119)))</formula>
    </cfRule>
  </conditionalFormatting>
  <conditionalFormatting sqref="E122:F122">
    <cfRule type="containsText" dxfId="511" priority="330" operator="containsText" text="MPa">
      <formula>NOT(ISERROR(SEARCH("MPa",E122)))</formula>
    </cfRule>
    <cfRule type="containsText" dxfId="510" priority="331" operator="containsText" text="psi">
      <formula>NOT(ISERROR(SEARCH("psi",E122)))</formula>
    </cfRule>
    <cfRule type="containsText" dxfId="509" priority="332" operator="containsText" text="kPa">
      <formula>NOT(ISERROR(SEARCH("kPa",E122)))</formula>
    </cfRule>
  </conditionalFormatting>
  <conditionalFormatting sqref="E123:F123">
    <cfRule type="containsText" dxfId="508" priority="324" operator="containsText" text="DN8">
      <formula>NOT(ISERROR(SEARCH("DN8",E123)))</formula>
    </cfRule>
  </conditionalFormatting>
  <conditionalFormatting sqref="E127">
    <cfRule type="cellIs" dxfId="507" priority="321" operator="equal">
      <formula>"Groß"</formula>
    </cfRule>
    <cfRule type="cellIs" dxfId="506" priority="322" operator="equal">
      <formula>"Klein Alu"</formula>
    </cfRule>
  </conditionalFormatting>
  <conditionalFormatting sqref="N119">
    <cfRule type="cellIs" dxfId="505" priority="315" operator="equal">
      <formula>"Phoenix UK16"</formula>
    </cfRule>
  </conditionalFormatting>
  <conditionalFormatting sqref="E130:F130">
    <cfRule type="cellIs" dxfId="504" priority="278" operator="equal">
      <formula>"Sonderwunsch Kunde &gt; Kommentarfeld"</formula>
    </cfRule>
    <cfRule type="cellIs" dxfId="503" priority="279" operator="equal">
      <formula>"Bolzenklemme M10 (Trench)"</formula>
    </cfRule>
    <cfRule type="cellIs" dxfId="502" priority="280" operator="equal">
      <formula>"Penn Union No. 6000 Series"</formula>
    </cfRule>
    <cfRule type="cellIs" dxfId="501" priority="281" operator="equal">
      <formula>"Wago Zugfederklemme"</formula>
    </cfRule>
    <cfRule type="cellIs" dxfId="500" priority="282" operator="equal">
      <formula>"Phoenix UKK10PV"</formula>
    </cfRule>
    <cfRule type="cellIs" dxfId="499" priority="283" operator="equal">
      <formula>"Phoenix UK10N"</formula>
    </cfRule>
    <cfRule type="cellIs" dxfId="498" priority="284" operator="equal">
      <formula>"Phoenix UK5N"</formula>
    </cfRule>
    <cfRule type="cellIs" dxfId="497" priority="285" operator="equal">
      <formula>"Phoenix UK35"</formula>
    </cfRule>
    <cfRule type="cellIs" dxfId="496" priority="286" operator="equal">
      <formula>"Phoenix UK16N"</formula>
    </cfRule>
    <cfRule type="cellIs" dxfId="495" priority="287" operator="equal">
      <formula>"Phoenix UK10N"</formula>
    </cfRule>
    <cfRule type="cellIs" dxfId="494" priority="288" operator="equal">
      <formula>"Phoenix UK6N"</formula>
    </cfRule>
    <cfRule type="cellIs" dxfId="493" priority="289" operator="equal">
      <formula>"Phoenix ST16"</formula>
    </cfRule>
    <cfRule type="cellIs" dxfId="492" priority="290" operator="equal">
      <formula>"Phoenix ST10"</formula>
    </cfRule>
    <cfRule type="cellIs" dxfId="491" priority="291" operator="equal">
      <formula>"Phoenix ST6"</formula>
    </cfRule>
  </conditionalFormatting>
  <conditionalFormatting sqref="E131:F131">
    <cfRule type="expression" dxfId="490" priority="14">
      <formula>E131="CU"</formula>
    </cfRule>
    <cfRule type="expression" dxfId="489" priority="277">
      <formula>E131="Al"</formula>
    </cfRule>
  </conditionalFormatting>
  <conditionalFormatting sqref="E132:F132">
    <cfRule type="containsText" dxfId="488" priority="276" operator="containsText" text="Ja">
      <formula>NOT(ISERROR(SEARCH("Ja",E132)))</formula>
    </cfRule>
  </conditionalFormatting>
  <conditionalFormatting sqref="E134:F134">
    <cfRule type="expression" dxfId="487" priority="275">
      <formula>$E$133="Ja"</formula>
    </cfRule>
  </conditionalFormatting>
  <conditionalFormatting sqref="E136:F136">
    <cfRule type="containsText" dxfId="486" priority="274" operator="containsText" text="Ja">
      <formula>NOT(ISERROR(SEARCH("Ja",E136)))</formula>
    </cfRule>
  </conditionalFormatting>
  <conditionalFormatting sqref="E137:F137">
    <cfRule type="containsText" dxfId="485" priority="273" operator="containsText" text="Ja">
      <formula>NOT(ISERROR(SEARCH("Ja",E137)))</formula>
    </cfRule>
  </conditionalFormatting>
  <conditionalFormatting sqref="I134">
    <cfRule type="expression" dxfId="484" priority="271">
      <formula>$E$134="m. Hilfsschalter / w. auxiliary switch"</formula>
    </cfRule>
  </conditionalFormatting>
  <conditionalFormatting sqref="H137:I137">
    <cfRule type="expression" dxfId="483" priority="270">
      <formula>$G$137="Ja"</formula>
    </cfRule>
  </conditionalFormatting>
  <conditionalFormatting sqref="E138:F138">
    <cfRule type="containsText" dxfId="482" priority="268" operator="containsText" text="Ja">
      <formula>NOT(ISERROR(SEARCH("Ja",E138)))</formula>
    </cfRule>
  </conditionalFormatting>
  <conditionalFormatting sqref="C139:D139">
    <cfRule type="containsText" dxfId="481" priority="264" operator="containsText" text="Ja">
      <formula>NOT(ISERROR(SEARCH("Ja",C139)))</formula>
    </cfRule>
  </conditionalFormatting>
  <conditionalFormatting sqref="C140">
    <cfRule type="expression" dxfId="480" priority="263">
      <formula>$C$139="Ja"</formula>
    </cfRule>
  </conditionalFormatting>
  <conditionalFormatting sqref="E140:F140 E141">
    <cfRule type="expression" dxfId="479" priority="262">
      <formula>$C$139="Ja"</formula>
    </cfRule>
  </conditionalFormatting>
  <conditionalFormatting sqref="G140:H140">
    <cfRule type="expression" dxfId="478" priority="261">
      <formula>$C$139="Ja"</formula>
    </cfRule>
  </conditionalFormatting>
  <conditionalFormatting sqref="I140:J140">
    <cfRule type="expression" dxfId="477" priority="260">
      <formula>$C$139="Ja"</formula>
    </cfRule>
  </conditionalFormatting>
  <conditionalFormatting sqref="K140">
    <cfRule type="expression" dxfId="476" priority="259">
      <formula>$C$139="Ja"</formula>
    </cfRule>
  </conditionalFormatting>
  <conditionalFormatting sqref="E142:F142">
    <cfRule type="cellIs" dxfId="475" priority="15" operator="equal">
      <formula>"Portugiesisch"</formula>
    </cfRule>
    <cfRule type="cellIs" dxfId="474" priority="254" operator="equal">
      <formula>"Polnisch"</formula>
    </cfRule>
    <cfRule type="cellIs" dxfId="473" priority="255" operator="equal">
      <formula>"Spanisch"</formula>
    </cfRule>
    <cfRule type="cellIs" dxfId="472" priority="256" operator="equal">
      <formula>"Tschechisch"</formula>
    </cfRule>
    <cfRule type="cellIs" dxfId="471" priority="257" operator="equal">
      <formula>"Französisch"</formula>
    </cfRule>
    <cfRule type="cellIs" dxfId="470" priority="258" operator="equal">
      <formula>"Russisch"</formula>
    </cfRule>
  </conditionalFormatting>
  <conditionalFormatting sqref="E143:F143">
    <cfRule type="cellIs" dxfId="469" priority="252" operator="equal">
      <formula>"Alu schwarz &amp; weiße Schrift"</formula>
    </cfRule>
    <cfRule type="cellIs" dxfId="468" priority="253" operator="equal">
      <formula>"Edelstahl silber &amp; schwarze Schrift"</formula>
    </cfRule>
  </conditionalFormatting>
  <conditionalFormatting sqref="C149:F149">
    <cfRule type="cellIs" dxfId="467" priority="246" operator="equal">
      <formula>"Unter Spannung stehende Teile lackiert in A, Rest lackiert in B"</formula>
    </cfRule>
    <cfRule type="cellIs" dxfId="466" priority="247" operator="equal">
      <formula>"Unter Spannung stehende Teile lackiert in A, Rest unlackiert"</formula>
    </cfRule>
    <cfRule type="cellIs" dxfId="465" priority="248" operator="equal">
      <formula>"Komplettanstrich A inkl. A2 Schrauben"</formula>
    </cfRule>
    <cfRule type="cellIs" dxfId="464" priority="249" operator="equal">
      <formula>"Komplettanstrich A ohne A2 Schrauben"</formula>
    </cfRule>
    <cfRule type="cellIs" dxfId="463" priority="250" operator="equal">
      <formula>"Al ohne Anstrich; St verzinkt + lackiert in A"</formula>
    </cfRule>
  </conditionalFormatting>
  <conditionalFormatting sqref="G149:H149">
    <cfRule type="notContainsText" dxfId="462" priority="237" operator="notContains" text="Keine Lackierung gefordert">
      <formula>ISERROR(SEARCH("Keine Lackierung gefordert",G149))</formula>
    </cfRule>
    <cfRule type="expression" dxfId="461" priority="240">
      <formula>$C$149="Components under electr. Voltage in 'A', others without painting"</formula>
    </cfRule>
    <cfRule type="expression" dxfId="460" priority="241">
      <formula>$C$149="Completly painted in 'A' incl. A2 Bolts"</formula>
    </cfRule>
    <cfRule type="expression" dxfId="459" priority="242">
      <formula>$C$149="Completly painted in 'A' without A2 Bolts"</formula>
    </cfRule>
    <cfRule type="expression" dxfId="458" priority="243">
      <formula>$C$149="Al without painting; St zincked + painted in 'A'"</formula>
    </cfRule>
    <cfRule type="expression" dxfId="457" priority="244">
      <formula>$C$149="Components under electr. Voltage in 'A', other Parts in 'B'"</formula>
    </cfRule>
  </conditionalFormatting>
  <conditionalFormatting sqref="I149:J149">
    <cfRule type="notContainsText" dxfId="456" priority="236" operator="notContains" text="Keine Lackierung gefordert">
      <formula>ISERROR(SEARCH("Keine Lackierung gefordert",I149))</formula>
    </cfRule>
    <cfRule type="expression" dxfId="455" priority="239">
      <formula>$C$149="Components under electr. Voltage in 'A', other Parts in 'B'"</formula>
    </cfRule>
  </conditionalFormatting>
  <conditionalFormatting sqref="E156:F156">
    <cfRule type="containsText" dxfId="454" priority="235" operator="containsText" text="Ja">
      <formula>NOT(ISERROR(SEARCH("Ja",E156)))</formula>
    </cfRule>
  </conditionalFormatting>
  <conditionalFormatting sqref="I155:K155">
    <cfRule type="cellIs" dxfId="453" priority="234" operator="notEqual">
      <formula>"-"</formula>
    </cfRule>
  </conditionalFormatting>
  <conditionalFormatting sqref="G156:K156">
    <cfRule type="expression" dxfId="452" priority="230">
      <formula>$E$156="Ja"</formula>
    </cfRule>
  </conditionalFormatting>
  <conditionalFormatting sqref="E154:F154">
    <cfRule type="cellIs" dxfId="451" priority="229" operator="equal">
      <formula>"Ja"</formula>
    </cfRule>
  </conditionalFormatting>
  <conditionalFormatting sqref="E151 I151">
    <cfRule type="cellIs" dxfId="450" priority="47" operator="equal">
      <formula>"Other specification"</formula>
    </cfRule>
    <cfRule type="cellIs" dxfId="449" priority="222" operator="equal">
      <formula>"Bolzenanschluss / Bolt connection"</formula>
    </cfRule>
    <cfRule type="cellIs" dxfId="448" priority="223" operator="equal">
      <formula>"Al. Flat-terminal 200x120x20 - 6xØ18,0 hole distance 60 mm"</formula>
    </cfRule>
    <cfRule type="cellIs" dxfId="447" priority="224" operator="equal">
      <formula>"Al. Flat-terminal 200x120x20 - 4xØ14,0 hole distance 45 mm (GOST)"</formula>
    </cfRule>
    <cfRule type="cellIs" dxfId="446" priority="225" operator="equal">
      <formula>"Al. Flat-terminal 210x130x20– 6xD18,0 hole distance 70 mm"</formula>
    </cfRule>
    <cfRule type="cellIs" dxfId="445" priority="226" operator="equal">
      <formula>"Al. Flat-terminal 210x120x20– 8xD13,0 hole distance 50 mm "</formula>
    </cfRule>
    <cfRule type="cellIs" dxfId="444" priority="227" operator="equal">
      <formula>"Al. Flat-terminal 200x120x20 - 6xØ14,0 hole distance 44,5 mm"</formula>
    </cfRule>
    <cfRule type="cellIs" dxfId="443" priority="228" operator="equal">
      <formula>"Al. Flat-terminal 200x120x20 - 8xØ14,0 hole distance 44,5 mm (NEMA)"</formula>
    </cfRule>
  </conditionalFormatting>
  <conditionalFormatting sqref="E152 I152">
    <cfRule type="cellIs" dxfId="442" priority="48" operator="equal">
      <formula>"Other specification"</formula>
    </cfRule>
    <cfRule type="cellIs" dxfId="441" priority="59" operator="equal">
      <formula>"3xØ14,5 hole distance 44,5 und 60 mm (IEC/NEMA)"</formula>
    </cfRule>
    <cfRule type="cellIs" dxfId="440" priority="60" operator="equal">
      <formula>"8xØ14,0 hole distance 44,5 x 44,5 mm (NEMA)"</formula>
    </cfRule>
    <cfRule type="cellIs" dxfId="439" priority="220" operator="equal">
      <formula>"2xØ14,5, hole distance 44,5 mm (NEMA)"</formula>
    </cfRule>
    <cfRule type="cellIs" dxfId="438" priority="221" operator="equal">
      <formula>"4x D14,5, hole distance 44,5 x 60 mm (IEC/NEMA)"</formula>
    </cfRule>
  </conditionalFormatting>
  <conditionalFormatting sqref="G154">
    <cfRule type="expression" dxfId="437" priority="215">
      <formula>$E$154="Ja"</formula>
    </cfRule>
  </conditionalFormatting>
  <conditionalFormatting sqref="E155:F155">
    <cfRule type="cellIs" dxfId="436" priority="214" operator="notEqual">
      <formula>$I$155+$G$155</formula>
    </cfRule>
  </conditionalFormatting>
  <conditionalFormatting sqref="C157:D157">
    <cfRule type="containsText" dxfId="435" priority="206" operator="containsText" text="Ja">
      <formula>NOT(ISERROR(SEARCH("Ja",C157)))</formula>
    </cfRule>
  </conditionalFormatting>
  <conditionalFormatting sqref="E157:F157">
    <cfRule type="containsText" dxfId="434" priority="205" operator="containsText" text="Ja">
      <formula>NOT(ISERROR(SEARCH("Ja",E157)))</formula>
    </cfRule>
  </conditionalFormatting>
  <conditionalFormatting sqref="G157:H157">
    <cfRule type="containsText" dxfId="433" priority="204" operator="containsText" text="Ja">
      <formula>NOT(ISERROR(SEARCH("Ja",G157)))</formula>
    </cfRule>
  </conditionalFormatting>
  <conditionalFormatting sqref="C158:D158">
    <cfRule type="expression" dxfId="432" priority="203">
      <formula>$C$157="Ja"</formula>
    </cfRule>
  </conditionalFormatting>
  <conditionalFormatting sqref="E158:F158">
    <cfRule type="expression" dxfId="431" priority="202">
      <formula>$E$157="Ja"</formula>
    </cfRule>
  </conditionalFormatting>
  <conditionalFormatting sqref="G158:H158">
    <cfRule type="expression" dxfId="430" priority="201">
      <formula>$G$157="Ja"</formula>
    </cfRule>
  </conditionalFormatting>
  <conditionalFormatting sqref="E36:F36">
    <cfRule type="containsText" dxfId="429" priority="195" operator="containsText" text="Ja">
      <formula>NOT(ISERROR(SEARCH("Ja",E36)))</formula>
    </cfRule>
  </conditionalFormatting>
  <conditionalFormatting sqref="E37:F37">
    <cfRule type="containsText" dxfId="428" priority="194" operator="containsText" text="Ja">
      <formula>NOT(ISERROR(SEARCH("Ja",E37)))</formula>
    </cfRule>
  </conditionalFormatting>
  <conditionalFormatting sqref="E39:F39">
    <cfRule type="containsText" dxfId="427" priority="190" operator="containsText" text="Ja">
      <formula>NOT(ISERROR(SEARCH("Ja",E39)))</formula>
    </cfRule>
  </conditionalFormatting>
  <conditionalFormatting sqref="E41:F41">
    <cfRule type="containsText" dxfId="426" priority="188" operator="containsText" text="Ja">
      <formula>NOT(ISERROR(SEARCH("Ja",E41)))</formula>
    </cfRule>
  </conditionalFormatting>
  <conditionalFormatting sqref="E40:F40">
    <cfRule type="containsText" dxfId="425" priority="189" operator="containsText" text="Ja">
      <formula>NOT(ISERROR(SEARCH("Ja",E40)))</formula>
    </cfRule>
  </conditionalFormatting>
  <conditionalFormatting sqref="E38:F38">
    <cfRule type="containsText" dxfId="424" priority="187" operator="containsText" text="Ja">
      <formula>NOT(ISERROR(SEARCH("Ja",E38)))</formula>
    </cfRule>
  </conditionalFormatting>
  <conditionalFormatting sqref="C46">
    <cfRule type="containsText" dxfId="423" priority="180" operator="containsText" text="Ja">
      <formula>NOT(ISERROR(SEARCH("Ja",C46)))</formula>
    </cfRule>
  </conditionalFormatting>
  <conditionalFormatting sqref="E42:F42">
    <cfRule type="containsText" dxfId="422" priority="174" operator="containsText" text="Ja">
      <formula>NOT(ISERROR(SEARCH("Ja",E42)))</formula>
    </cfRule>
  </conditionalFormatting>
  <conditionalFormatting sqref="F12:G12">
    <cfRule type="containsText" dxfId="421" priority="172" operator="containsText" text="*">
      <formula>NOT(ISERROR(SEARCH("*",F12)))</formula>
    </cfRule>
  </conditionalFormatting>
  <conditionalFormatting sqref="I13:J13">
    <cfRule type="containsText" dxfId="420" priority="160" operator="containsText" text="*">
      <formula>NOT(ISERROR(SEARCH("*",I13)))</formula>
    </cfRule>
  </conditionalFormatting>
  <conditionalFormatting sqref="F13:G13">
    <cfRule type="containsText" dxfId="419" priority="167" operator="containsText" text="*">
      <formula>NOT(ISERROR(SEARCH("*",F13)))</formula>
    </cfRule>
  </conditionalFormatting>
  <conditionalFormatting sqref="F14:G14">
    <cfRule type="containsText" dxfId="418" priority="166" operator="containsText" text="*">
      <formula>NOT(ISERROR(SEARCH("*",F14)))</formula>
    </cfRule>
  </conditionalFormatting>
  <conditionalFormatting sqref="F15:G15">
    <cfRule type="containsText" dxfId="417" priority="165" operator="containsText" text="*">
      <formula>NOT(ISERROR(SEARCH("*",F15)))</formula>
    </cfRule>
  </conditionalFormatting>
  <conditionalFormatting sqref="F16:G16">
    <cfRule type="containsText" dxfId="416" priority="164" operator="containsText" text="*">
      <formula>NOT(ISERROR(SEARCH("*",F16)))</formula>
    </cfRule>
  </conditionalFormatting>
  <conditionalFormatting sqref="F17:G17">
    <cfRule type="containsText" dxfId="415" priority="163" operator="containsText" text="*">
      <formula>NOT(ISERROR(SEARCH("*",F17)))</formula>
    </cfRule>
  </conditionalFormatting>
  <conditionalFormatting sqref="I12:J12">
    <cfRule type="containsText" dxfId="414" priority="162" operator="containsText" text="*">
      <formula>NOT(ISERROR(SEARCH("*",I12)))</formula>
    </cfRule>
  </conditionalFormatting>
  <conditionalFormatting sqref="I17:J17">
    <cfRule type="containsText" dxfId="413" priority="156" operator="containsText" text="*">
      <formula>NOT(ISERROR(SEARCH("*",I17)))</formula>
    </cfRule>
  </conditionalFormatting>
  <conditionalFormatting sqref="I14:J14">
    <cfRule type="containsText" dxfId="412" priority="159" operator="containsText" text="*">
      <formula>NOT(ISERROR(SEARCH("*",I14)))</formula>
    </cfRule>
  </conditionalFormatting>
  <conditionalFormatting sqref="I15:J15">
    <cfRule type="containsText" dxfId="411" priority="158" operator="containsText" text="*">
      <formula>NOT(ISERROR(SEARCH("*",I15)))</formula>
    </cfRule>
  </conditionalFormatting>
  <conditionalFormatting sqref="I16:J16">
    <cfRule type="containsText" dxfId="410" priority="157" operator="containsText" text="*">
      <formula>NOT(ISERROR(SEARCH("*",I16)))</formula>
    </cfRule>
  </conditionalFormatting>
  <conditionalFormatting sqref="C3:D3">
    <cfRule type="containsText" dxfId="409" priority="144" operator="containsText" text="Ja">
      <formula>NOT(ISERROR(SEARCH("Ja",C3)))</formula>
    </cfRule>
  </conditionalFormatting>
  <conditionalFormatting sqref="E7">
    <cfRule type="containsText" dxfId="408" priority="140" operator="containsText" text="AD">
      <formula>NOT(ISERROR(SEARCH("AD",E7)))</formula>
    </cfRule>
  </conditionalFormatting>
  <conditionalFormatting sqref="E7:F7">
    <cfRule type="containsText" dxfId="407" priority="136" operator="containsText" text="CAN/CSA">
      <formula>NOT(ISERROR(SEARCH("CAN/CSA",E7)))</formula>
    </cfRule>
    <cfRule type="containsText" dxfId="406" priority="137" operator="containsText" text="APAVA">
      <formula>NOT(ISERROR(SEARCH("APAVA",E7)))</formula>
    </cfRule>
    <cfRule type="containsText" dxfId="405" priority="138" operator="containsText" text="INAIL">
      <formula>NOT(ISERROR(SEARCH("INAIL",E7)))</formula>
    </cfRule>
    <cfRule type="containsText" dxfId="404" priority="139" operator="containsText" text="SVTI">
      <formula>NOT(ISERROR(SEARCH("SVTI",E7)))</formula>
    </cfRule>
  </conditionalFormatting>
  <conditionalFormatting sqref="E3:H3">
    <cfRule type="expression" dxfId="403" priority="3">
      <formula>$E$7="CAN/CSA(N299)"</formula>
    </cfRule>
    <cfRule type="expression" dxfId="402" priority="134">
      <formula>$E$7="INAIL"</formula>
    </cfRule>
    <cfRule type="expression" dxfId="401" priority="135">
      <formula>$E$7="SVTI"</formula>
    </cfRule>
  </conditionalFormatting>
  <conditionalFormatting sqref="J3">
    <cfRule type="cellIs" dxfId="400" priority="133" operator="notEqual">
      <formula>"E = Standard"</formula>
    </cfRule>
  </conditionalFormatting>
  <conditionalFormatting sqref="E145:F145">
    <cfRule type="containsText" dxfId="399" priority="131" operator="containsText" text="Ja">
      <formula>NOT(ISERROR(SEARCH("Ja",E145)))</formula>
    </cfRule>
  </conditionalFormatting>
  <conditionalFormatting sqref="E144:F144">
    <cfRule type="containsText" dxfId="398" priority="132" operator="containsText" text="Ja">
      <formula>NOT(ISERROR(SEARCH("Ja",E144)))</formula>
    </cfRule>
  </conditionalFormatting>
  <conditionalFormatting sqref="E146">
    <cfRule type="containsText" dxfId="397" priority="130" operator="containsText" text="Ja">
      <formula>NOT(ISERROR(SEARCH("Ja",E146)))</formula>
    </cfRule>
  </conditionalFormatting>
  <conditionalFormatting sqref="E127:F128">
    <cfRule type="cellIs" dxfId="396" priority="129" operator="equal">
      <formula>"Sonder PSVS"</formula>
    </cfRule>
  </conditionalFormatting>
  <conditionalFormatting sqref="F46">
    <cfRule type="expression" dxfId="395" priority="127">
      <formula>$C$46="Ja"</formula>
    </cfRule>
  </conditionalFormatting>
  <conditionalFormatting sqref="G46:I46">
    <cfRule type="expression" dxfId="394" priority="126">
      <formula>$C$46="Ja"</formula>
    </cfRule>
  </conditionalFormatting>
  <conditionalFormatting sqref="I46:K46">
    <cfRule type="expression" dxfId="393" priority="125">
      <formula>$C$46="Ja"</formula>
    </cfRule>
  </conditionalFormatting>
  <conditionalFormatting sqref="J23:K23">
    <cfRule type="cellIs" dxfId="392" priority="124" operator="notEqual">
      <formula>1000</formula>
    </cfRule>
  </conditionalFormatting>
  <conditionalFormatting sqref="G27:H27">
    <cfRule type="cellIs" dxfId="391" priority="122" operator="notEqual">
      <formula>16</formula>
    </cfRule>
  </conditionalFormatting>
  <conditionalFormatting sqref="J27:K27">
    <cfRule type="cellIs" dxfId="390" priority="121" operator="notEqual">
      <formula>0</formula>
    </cfRule>
  </conditionalFormatting>
  <conditionalFormatting sqref="I28:K28">
    <cfRule type="cellIs" dxfId="389" priority="117" operator="equal">
      <formula>"Hersteller Trench Bamberg"</formula>
    </cfRule>
    <cfRule type="cellIs" dxfId="388" priority="118" operator="equal">
      <formula>"Saver"</formula>
    </cfRule>
  </conditionalFormatting>
  <conditionalFormatting sqref="G46">
    <cfRule type="expression" dxfId="387" priority="115">
      <formula>$C$46="Ja"</formula>
    </cfRule>
  </conditionalFormatting>
  <conditionalFormatting sqref="G46">
    <cfRule type="expression" dxfId="386" priority="113">
      <formula>$C$46="Ja"</formula>
    </cfRule>
  </conditionalFormatting>
  <conditionalFormatting sqref="H46">
    <cfRule type="expression" dxfId="385" priority="112">
      <formula>$C$46="Ja"</formula>
    </cfRule>
  </conditionalFormatting>
  <conditionalFormatting sqref="I46">
    <cfRule type="expression" dxfId="384" priority="111">
      <formula>$C$46="Ja"</formula>
    </cfRule>
  </conditionalFormatting>
  <conditionalFormatting sqref="J46">
    <cfRule type="expression" dxfId="383" priority="110">
      <formula>$C$46="Ja"</formula>
    </cfRule>
  </conditionalFormatting>
  <conditionalFormatting sqref="K46">
    <cfRule type="expression" dxfId="382" priority="109">
      <formula>$C$46="Ja"</formula>
    </cfRule>
  </conditionalFormatting>
  <conditionalFormatting sqref="G46">
    <cfRule type="expression" dxfId="381" priority="108">
      <formula>$C$46="Ja"</formula>
    </cfRule>
  </conditionalFormatting>
  <conditionalFormatting sqref="G47">
    <cfRule type="expression" dxfId="380" priority="107">
      <formula>$C$46="Ja"</formula>
    </cfRule>
  </conditionalFormatting>
  <conditionalFormatting sqref="H46">
    <cfRule type="expression" dxfId="379" priority="106">
      <formula>$C$46="Ja"</formula>
    </cfRule>
  </conditionalFormatting>
  <conditionalFormatting sqref="H47">
    <cfRule type="expression" dxfId="378" priority="105">
      <formula>$C$46="Ja"</formula>
    </cfRule>
  </conditionalFormatting>
  <conditionalFormatting sqref="I46">
    <cfRule type="expression" dxfId="377" priority="104">
      <formula>$C$46="Ja"</formula>
    </cfRule>
  </conditionalFormatting>
  <conditionalFormatting sqref="I47">
    <cfRule type="expression" dxfId="376" priority="103">
      <formula>$C$46="Ja"</formula>
    </cfRule>
  </conditionalFormatting>
  <conditionalFormatting sqref="J46">
    <cfRule type="expression" dxfId="375" priority="102">
      <formula>$C$46="Ja"</formula>
    </cfRule>
  </conditionalFormatting>
  <conditionalFormatting sqref="J47">
    <cfRule type="expression" dxfId="374" priority="101">
      <formula>$C$46="Ja"</formula>
    </cfRule>
  </conditionalFormatting>
  <conditionalFormatting sqref="K46">
    <cfRule type="expression" dxfId="373" priority="100">
      <formula>$C$46="Ja"</formula>
    </cfRule>
  </conditionalFormatting>
  <conditionalFormatting sqref="K47">
    <cfRule type="expression" dxfId="372" priority="99">
      <formula>$C$46="Ja"</formula>
    </cfRule>
  </conditionalFormatting>
  <conditionalFormatting sqref="A32:K32">
    <cfRule type="expression" dxfId="371" priority="98">
      <formula>$A$32="Es müssen Flour Silikon Dichtungen verwendet werden!"</formula>
    </cfRule>
  </conditionalFormatting>
  <conditionalFormatting sqref="A31:K31">
    <cfRule type="cellIs" dxfId="370" priority="97" operator="equal">
      <formula>"Achtung! Umax des ausgewählten Produkts passt nicht mit der ausgewählten Betriebsspannung zusammen!"</formula>
    </cfRule>
  </conditionalFormatting>
  <conditionalFormatting sqref="F47">
    <cfRule type="expression" dxfId="369" priority="95">
      <formula>$C$46="Ja"</formula>
    </cfRule>
  </conditionalFormatting>
  <conditionalFormatting sqref="E109:F109">
    <cfRule type="containsText" dxfId="368" priority="90" operator="containsText" text="MPa">
      <formula>NOT(ISERROR(SEARCH("MPa",E109)))</formula>
    </cfRule>
    <cfRule type="containsText" dxfId="367" priority="91" operator="containsText" text="psi">
      <formula>NOT(ISERROR(SEARCH("psi",E109)))</formula>
    </cfRule>
    <cfRule type="containsText" dxfId="366" priority="92" operator="containsText" text="kPa">
      <formula>NOT(ISERROR(SEARCH("kPa",E109)))</formula>
    </cfRule>
  </conditionalFormatting>
  <conditionalFormatting sqref="G123:K123">
    <cfRule type="cellIs" dxfId="365" priority="89" operator="equal">
      <formula>"DN20 mit M50x2 verwenden"</formula>
    </cfRule>
  </conditionalFormatting>
  <conditionalFormatting sqref="G111:K111">
    <cfRule type="expression" dxfId="364" priority="88">
      <formula>$G$111="Prüfeinrichtung DN8 mit M30x1,5 verwenden"</formula>
    </cfRule>
  </conditionalFormatting>
  <conditionalFormatting sqref="A59:B59">
    <cfRule type="cellIs" dxfId="363" priority="85" operator="equal">
      <formula>"Ja"</formula>
    </cfRule>
  </conditionalFormatting>
  <conditionalFormatting sqref="A57:B57">
    <cfRule type="cellIs" dxfId="362" priority="84" operator="equal">
      <formula>"Ja"</formula>
    </cfRule>
  </conditionalFormatting>
  <conditionalFormatting sqref="C148:F148">
    <cfRule type="expression" dxfId="361" priority="83">
      <formula>#REF!="Ja"</formula>
    </cfRule>
  </conditionalFormatting>
  <conditionalFormatting sqref="E43:F43">
    <cfRule type="containsText" dxfId="360" priority="82" operator="containsText" text="Ja">
      <formula>NOT(ISERROR(SEARCH("Ja",E43)))</formula>
    </cfRule>
  </conditionalFormatting>
  <conditionalFormatting sqref="E44:F44">
    <cfRule type="containsText" dxfId="359" priority="81" operator="containsText" text="Ja">
      <formula>NOT(ISERROR(SEARCH("Ja",E44)))</formula>
    </cfRule>
  </conditionalFormatting>
  <conditionalFormatting sqref="E45:F45">
    <cfRule type="containsText" dxfId="358" priority="80" operator="containsText" text="Ja">
      <formula>NOT(ISERROR(SEARCH("Ja",E45)))</formula>
    </cfRule>
  </conditionalFormatting>
  <conditionalFormatting sqref="G45:K45">
    <cfRule type="expression" dxfId="357" priority="79">
      <formula>$E$45="Ja"</formula>
    </cfRule>
  </conditionalFormatting>
  <conditionalFormatting sqref="H114:I114">
    <cfRule type="expression" dxfId="356" priority="77">
      <formula>$G$114="JA"</formula>
    </cfRule>
  </conditionalFormatting>
  <conditionalFormatting sqref="J114:K114">
    <cfRule type="cellIs" dxfId="355" priority="76" operator="notEqual">
      <formula>"n.a."</formula>
    </cfRule>
  </conditionalFormatting>
  <conditionalFormatting sqref="G2:H2">
    <cfRule type="containsText" dxfId="354" priority="75" operator="containsText" text="Ja">
      <formula>NOT(ISERROR(SEARCH("Ja",G2)))</formula>
    </cfRule>
  </conditionalFormatting>
  <conditionalFormatting sqref="E129:F129">
    <cfRule type="cellIs" dxfId="353" priority="61" operator="equal">
      <formula>"Sonderwunsch Kunde &gt; Kommentarfeld"</formula>
    </cfRule>
    <cfRule type="cellIs" dxfId="352" priority="62" operator="equal">
      <formula>"Bolzenklemme M10 (Trench)"</formula>
    </cfRule>
    <cfRule type="cellIs" dxfId="351" priority="63" operator="equal">
      <formula>"Penn Union No. 6000 Series"</formula>
    </cfRule>
    <cfRule type="cellIs" dxfId="350" priority="64" operator="equal">
      <formula>"Wago Zugfederklemme"</formula>
    </cfRule>
    <cfRule type="cellIs" dxfId="349" priority="65" operator="equal">
      <formula>"Phoenix UKK10PV"</formula>
    </cfRule>
    <cfRule type="cellIs" dxfId="348" priority="66" operator="equal">
      <formula>"Phoenix UK10N"</formula>
    </cfRule>
    <cfRule type="cellIs" dxfId="347" priority="67" operator="equal">
      <formula>"Phoenix UK5N"</formula>
    </cfRule>
    <cfRule type="cellIs" dxfId="346" priority="68" operator="equal">
      <formula>"Phoenix UK35"</formula>
    </cfRule>
    <cfRule type="cellIs" dxfId="345" priority="69" operator="equal">
      <formula>"Phoenix UK16N"</formula>
    </cfRule>
    <cfRule type="cellIs" dxfId="344" priority="70" operator="equal">
      <formula>"Phoenix UK10N"</formula>
    </cfRule>
    <cfRule type="cellIs" dxfId="343" priority="71" operator="equal">
      <formula>"Phoenix UK6N"</formula>
    </cfRule>
    <cfRule type="cellIs" dxfId="342" priority="72" operator="equal">
      <formula>"Phoenix ST16"</formula>
    </cfRule>
    <cfRule type="cellIs" dxfId="341" priority="73" operator="equal">
      <formula>"Phoenix ST10"</formula>
    </cfRule>
    <cfRule type="cellIs" dxfId="340" priority="74" operator="equal">
      <formula>"Phoenix ST6"</formula>
    </cfRule>
  </conditionalFormatting>
  <conditionalFormatting sqref="E153:F153">
    <cfRule type="cellIs" dxfId="339" priority="58" operator="notEqual">
      <formula>"Not specified"</formula>
    </cfRule>
  </conditionalFormatting>
  <conditionalFormatting sqref="E124:F124">
    <cfRule type="cellIs" dxfId="338" priority="57" operator="notEqual">
      <formula>"0,5% / p.a"</formula>
    </cfRule>
  </conditionalFormatting>
  <conditionalFormatting sqref="C26:D26">
    <cfRule type="cellIs" dxfId="337" priority="53" operator="lessThan">
      <formula>-30</formula>
    </cfRule>
  </conditionalFormatting>
  <conditionalFormatting sqref="C2:D2">
    <cfRule type="containsText" dxfId="336" priority="52" operator="containsText" text="Ja">
      <formula>NOT(ISERROR(SEARCH("Ja",C2)))</formula>
    </cfRule>
  </conditionalFormatting>
  <conditionalFormatting sqref="G122:H122">
    <cfRule type="cellIs" dxfId="335" priority="51" operator="equal">
      <formula>"USA! Avoid input of bar!!!"</formula>
    </cfRule>
  </conditionalFormatting>
  <conditionalFormatting sqref="E133:F133">
    <cfRule type="containsText" dxfId="334" priority="49" operator="containsText" text="Ja">
      <formula>NOT(ISERROR(SEARCH("Ja",E133)))</formula>
    </cfRule>
  </conditionalFormatting>
  <conditionalFormatting sqref="K12:K17">
    <cfRule type="expression" priority="46">
      <formula>Wenn+$F$12=ungleich=DATUM</formula>
    </cfRule>
  </conditionalFormatting>
  <conditionalFormatting sqref="E135:F135">
    <cfRule type="containsText" dxfId="333" priority="43" operator="containsText" text="Ja">
      <formula>NOT(ISERROR(SEARCH("Ja",E135)))</formula>
    </cfRule>
  </conditionalFormatting>
  <conditionalFormatting sqref="J134:K134">
    <cfRule type="expression" dxfId="332" priority="42">
      <formula>$E$134="m. Hilfsschalter / w. auxiliary switch"</formula>
    </cfRule>
  </conditionalFormatting>
  <conditionalFormatting sqref="C29:K29">
    <cfRule type="expression" dxfId="331" priority="40">
      <formula>$D$28="Spez. Kundenforderung =&gt; Kommentarfeld"</formula>
    </cfRule>
  </conditionalFormatting>
  <conditionalFormatting sqref="E117:F117">
    <cfRule type="containsText" dxfId="330" priority="39" operator="containsText" text="Ja">
      <formula>NOT(ISERROR(SEARCH("Ja",E117)))</formula>
    </cfRule>
  </conditionalFormatting>
  <conditionalFormatting sqref="A30">
    <cfRule type="cellIs" dxfId="329" priority="38" operator="equal">
      <formula>"Achtung!Bezeichnung Typenschild abweichend!"</formula>
    </cfRule>
  </conditionalFormatting>
  <conditionalFormatting sqref="M5:M6">
    <cfRule type="cellIs" dxfId="328" priority="26" operator="equal">
      <formula>"Projektkategorie F=Keine Risikoanalyse erforderlich"</formula>
    </cfRule>
    <cfRule type="cellIs" dxfId="327" priority="28" operator="equal">
      <formula>"Projektkategorie D=Abwägung ob Risikoanalyse erforderlich"</formula>
    </cfRule>
    <cfRule type="cellIs" dxfId="326" priority="30" operator="equal">
      <formula>"Projektkategorie C=Abwägung ob Risikoanalyse erdorderlich"</formula>
    </cfRule>
    <cfRule type="cellIs" dxfId="325" priority="32" operator="equal">
      <formula>"Projektkategorie B=Risikoanalyse erforderlich"</formula>
    </cfRule>
    <cfRule type="cellIs" dxfId="324" priority="34" operator="equal">
      <formula>"Projektkategorie A=Risikoanalyse erforderlich"</formula>
    </cfRule>
    <cfRule type="cellIs" dxfId="323" priority="37" operator="equal">
      <formula>"Projektkategorie E=Keine Risikoanalyse erforderlich"</formula>
    </cfRule>
  </conditionalFormatting>
  <conditionalFormatting sqref="M4">
    <cfRule type="cellIs" dxfId="322" priority="27" operator="equal">
      <formula>"Projektkategorie F=Keine oder nur maginale Abweichung zu entwickeltem Wandlermodell"</formula>
    </cfRule>
    <cfRule type="cellIs" dxfId="321" priority="29" operator="equal">
      <formula>"Projektkategorie D=Adaption zu entwickeltem Wandlermodell"</formula>
    </cfRule>
    <cfRule type="cellIs" dxfId="320" priority="31" operator="equal">
      <formula>"Projektkategorie C=Adaption zu entwickeltem Wandlermodell"</formula>
    </cfRule>
    <cfRule type="cellIs" dxfId="319" priority="33" operator="equal">
      <formula>"Projektkategorie B=Konstruktiv neu zu entwickelndes Modell"</formula>
    </cfRule>
    <cfRule type="cellIs" dxfId="318" priority="35" operator="equal">
      <formula>"Projektkategorie A=Konstruktiv neu zu entwickelndes Modell"</formula>
    </cfRule>
    <cfRule type="cellIs" dxfId="317" priority="36" operator="equal">
      <formula>"Projektkategorie E=Keine oder nur maginale Abweichung zu entwickeltem Wandlermodell"</formula>
    </cfRule>
  </conditionalFormatting>
  <conditionalFormatting sqref="E8:F8">
    <cfRule type="expression" dxfId="316" priority="20">
      <formula>$J$2="Italy"</formula>
    </cfRule>
  </conditionalFormatting>
  <conditionalFormatting sqref="G8:K8">
    <cfRule type="expression" dxfId="315" priority="18">
      <formula>$J$2="Italy"</formula>
    </cfRule>
  </conditionalFormatting>
  <conditionalFormatting sqref="J25:K25">
    <cfRule type="cellIs" dxfId="314" priority="16" operator="equal">
      <formula>"19kV"</formula>
    </cfRule>
  </conditionalFormatting>
  <conditionalFormatting sqref="K121">
    <cfRule type="colorScale" priority="376">
      <colorScale>
        <cfvo type="min"/>
        <cfvo type="num" val="7"/>
        <color theme="0"/>
        <color rgb="FFFF0000"/>
      </colorScale>
    </cfRule>
  </conditionalFormatting>
  <conditionalFormatting sqref="K149">
    <cfRule type="colorScale" priority="377">
      <colorScale>
        <cfvo type="min"/>
        <cfvo type="num" val="7"/>
        <color theme="0"/>
        <color rgb="FFFF0000"/>
      </colorScale>
    </cfRule>
  </conditionalFormatting>
  <conditionalFormatting sqref="L119">
    <cfRule type="cellIs" dxfId="313" priority="13" operator="equal">
      <formula>"Phoenix UK16"</formula>
    </cfRule>
  </conditionalFormatting>
  <conditionalFormatting sqref="A55:B55">
    <cfRule type="cellIs" dxfId="312" priority="12" operator="equal">
      <formula>"Nein"</formula>
    </cfRule>
  </conditionalFormatting>
  <conditionalFormatting sqref="H108:I108">
    <cfRule type="expression" dxfId="311" priority="11">
      <formula>$G$108="ja"</formula>
    </cfRule>
  </conditionalFormatting>
  <conditionalFormatting sqref="G108">
    <cfRule type="expression" priority="10">
      <formula>$E$108="mit / with transmitter"="Ja"</formula>
    </cfRule>
  </conditionalFormatting>
  <conditionalFormatting sqref="I146:K146">
    <cfRule type="cellIs" dxfId="310" priority="7" operator="notEqual">
      <formula>""</formula>
    </cfRule>
  </conditionalFormatting>
  <conditionalFormatting sqref="A63">
    <cfRule type="cellIs" dxfId="309" priority="6" operator="equal">
      <formula>"Ja"</formula>
    </cfRule>
  </conditionalFormatting>
  <conditionalFormatting sqref="A104">
    <cfRule type="cellIs" dxfId="308" priority="4" operator="equal">
      <formula>"Ja"</formula>
    </cfRule>
  </conditionalFormatting>
  <dataValidations xWindow="261" yWindow="401" count="69">
    <dataValidation type="list" showInputMessage="1" showErrorMessage="1" errorTitle="Änderung nicht möglich !" sqref="I155:K155" xr:uid="{00000000-0002-0000-0000-000002000000}">
      <formula1>Sprachen</formula1>
    </dataValidation>
    <dataValidation type="list" showInputMessage="1" showErrorMessage="1" errorTitle="Änderung nicht möglich !" sqref="E108:F108" xr:uid="{00000000-0002-0000-0000-000003000000}">
      <formula1>Dichtewächter</formula1>
    </dataValidation>
    <dataValidation type="list" showInputMessage="1" showErrorMessage="1" errorTitle="Änderung nicht möglich !" sqref="C121:D121" xr:uid="{00000000-0002-0000-0000-000009000000}">
      <formula1>Fülldrücke</formula1>
    </dataValidation>
    <dataValidation type="list" showInputMessage="1" showErrorMessage="1" errorTitle="Änderung nicht möglich !" sqref="E119:F119" xr:uid="{00000000-0002-0000-0000-00000A000000}">
      <formula1>SF6_Anteil</formula1>
    </dataValidation>
    <dataValidation type="list" allowBlank="1" showInputMessage="1" showErrorMessage="1" sqref="C73" xr:uid="{00000000-0002-0000-0000-00000B000000}">
      <formula1>Norm_Genauigkeitsklasse</formula1>
    </dataValidation>
    <dataValidation type="custom" allowBlank="1" showInputMessage="1" showErrorMessage="1" sqref="K103:K104" xr:uid="{00000000-0002-0000-0000-00000C000000}">
      <formula1>K103="K"</formula1>
    </dataValidation>
    <dataValidation type="list" allowBlank="1" showInputMessage="1" showErrorMessage="1" sqref="D82:J83" xr:uid="{00000000-0002-0000-0000-00000D000000}">
      <formula1>Meßbereich</formula1>
    </dataValidation>
    <dataValidation type="list" allowBlank="1" showInputMessage="1" showErrorMessage="1" sqref="D73:J73" xr:uid="{00000000-0002-0000-0000-00000E000000}">
      <formula1>Genuigkeitsklassen_Kerne</formula1>
    </dataValidation>
    <dataValidation type="whole" operator="lessThan" allowBlank="1" showInputMessage="1" showErrorMessage="1" sqref="C71" xr:uid="{00000000-0002-0000-0000-00000F000000}">
      <formula1>8</formula1>
    </dataValidation>
    <dataValidation type="list" errorStyle="warning" showInputMessage="1" showErrorMessage="1" errorTitle="Abweichender Wert ! " error="Wenn abweichende Eingabe erforderlich, bitte fortfahren und die Zeile selbstständig gelb markieren!" sqref="J2:K2" xr:uid="{00000000-0002-0000-0000-000011000000}">
      <formula1>Länder</formula1>
    </dataValidation>
    <dataValidation type="whole" allowBlank="1" showInputMessage="1" showErrorMessage="1" sqref="J23:K23" xr:uid="{00000000-0002-0000-0000-00001A000000}">
      <formula1>0</formula1>
      <formula2>5000</formula2>
    </dataValidation>
    <dataValidation type="list" showInputMessage="1" showErrorMessage="1" errorTitle="Änderung nicht möglich !" sqref="C27:D27" xr:uid="{00000000-0002-0000-0000-00001B000000}">
      <formula1>Verschmutzungklasse</formula1>
    </dataValidation>
    <dataValidation type="list" errorStyle="warning" showInputMessage="1" showErrorMessage="1" errorTitle="Abweichender Wert !" error="Wenn abweichende Eingabe erforderlich, bitte fortfahren und die Zeile selbstständig gelb markieren !" sqref="D23" xr:uid="{00000000-0002-0000-0000-00001E000000}">
      <formula1>Betriebsspannung</formula1>
    </dataValidation>
    <dataValidation type="list" errorStyle="warning" allowBlank="1" showInputMessage="1" showErrorMessage="1" errorTitle="Abweichender Wert !" error="Wenn abweichende Eingabe erforderlich, bitte fortfahren und die Zeile selbstständig gelb markieren !_x000a_" sqref="G24:H24" xr:uid="{00000000-0002-0000-0000-000021000000}">
      <formula1>Stehwechsel</formula1>
    </dataValidation>
    <dataValidation type="list" errorStyle="warning" allowBlank="1" showInputMessage="1" showErrorMessage="1" errorTitle="Abweichender Wert !" error="Wenn abweichende Eingabe erforderlich, bitte fortfahren und die Zeile selbstständig gelb markieren !_x000a_" sqref="D24" xr:uid="{00000000-0002-0000-0000-000022000000}">
      <formula1>BIL</formula1>
    </dataValidation>
    <dataValidation type="list" errorStyle="warning" allowBlank="1" showInputMessage="1" showErrorMessage="1" errorTitle="Abweichender Wert !" error="Wenn abweichende Eingabe erforderlich, bitte fortfahren und die Zeile selbstständig gelb markieren !" sqref="J24:K24" xr:uid="{00000000-0002-0000-0000-000024000000}">
      <formula1>SIL</formula1>
    </dataValidation>
    <dataValidation showInputMessage="1" showErrorMessage="1" sqref="G27:H27" xr:uid="{00000000-0002-0000-0000-000025000000}"/>
    <dataValidation type="list" showInputMessage="1" showErrorMessage="1" errorTitle="Änderung nicht möglich !" sqref="G25:H25" xr:uid="{00000000-0002-0000-0000-000027000000}">
      <formula1>Prüfwechselsannung_sek</formula1>
    </dataValidation>
    <dataValidation type="list" allowBlank="1" showInputMessage="1" sqref="D76:J77" xr:uid="{00000000-0002-0000-0000-000028000000}">
      <formula1>sek_strom</formula1>
    </dataValidation>
    <dataValidation type="list" allowBlank="1" showInputMessage="1" sqref="D80:J81" xr:uid="{00000000-0002-0000-0000-000029000000}">
      <formula1>Bürden</formula1>
    </dataValidation>
    <dataValidation type="list" allowBlank="1" showInputMessage="1" showErrorMessage="1" sqref="A77 A79" xr:uid="{00000000-0002-0000-0000-00002F000000}">
      <formula1>Umschaltung</formula1>
    </dataValidation>
    <dataValidation type="list" allowBlank="1" showInputMessage="1" showErrorMessage="1" sqref="E156:F156 E48:F48" xr:uid="{3E0BCF49-CCF4-4920-BF5D-AA3D95E2530E}">
      <formula1>Antwort_J</formula1>
    </dataValidation>
    <dataValidation type="list" allowBlank="1" showInputMessage="1" showErrorMessage="1" sqref="A57:B57 A59:B59 A55:B55" xr:uid="{1164392B-EE50-46EF-927C-6790B61F14B5}">
      <formula1>Antwort_N</formula1>
    </dataValidation>
    <dataValidation type="list" showInputMessage="1" showErrorMessage="1" errorTitle="Änderung nicht möglich !" sqref="E116:F116" xr:uid="{D1C0D72F-BE1F-43A5-ACEE-5C2D118B8BE3}">
      <formula1>DW_Hersteller</formula1>
    </dataValidation>
    <dataValidation type="list" allowBlank="1" showInputMessage="1" showErrorMessage="1" errorTitle="Änderung nicht möglich !" sqref="E123:F123" xr:uid="{95F6416F-FC96-415F-8FC7-F97F8E90C88E}">
      <formula1>Druckventil</formula1>
    </dataValidation>
    <dataValidation type="list" showInputMessage="1" showErrorMessage="1" errorTitle="Änderung nicht möglich !" sqref="J108:K108" xr:uid="{894D1D12-410C-49D5-BB26-1050A28B8329}">
      <formula1>Analogsignal</formula1>
    </dataValidation>
    <dataValidation type="list" allowBlank="1" showInputMessage="1" showErrorMessage="1" errorTitle="Änderung nicht möglich !" sqref="I121:J121" xr:uid="{DD80B3EE-258B-42BC-9B7E-6845DD1D813D}">
      <formula1>$E$121:$G$121</formula1>
    </dataValidation>
    <dataValidation type="list" showInputMessage="1" showErrorMessage="1" errorTitle="Änderung nicht möglich !" sqref="E129:F129" xr:uid="{8CB93C88-197C-48E4-8911-B61FD0D089DB}">
      <formula1>Klemmentyp</formula1>
    </dataValidation>
    <dataValidation type="list" showInputMessage="1" showErrorMessage="1" errorTitle="Änderung nicht möglich !" sqref="E131:F131" xr:uid="{76BDDC10-EA58-4D64-9453-4E7082D62EF2}">
      <formula1>Erdung</formula1>
    </dataValidation>
    <dataValidation type="list" showInputMessage="1" showErrorMessage="1" errorTitle="Änderung nicht möglich !" sqref="E134:F134" xr:uid="{689F7B04-87E7-4861-A699-7449AFF8B17C}">
      <formula1>Sicherungen</formula1>
    </dataValidation>
    <dataValidation type="list" showInputMessage="1" showErrorMessage="1" errorTitle="Änderung nicht möglich !" sqref="J134:K134" xr:uid="{0A7973E7-58A5-4FEA-BEDB-7BA73CA6A920}">
      <formula1>Hilfsschalter</formula1>
    </dataValidation>
    <dataValidation type="list" showInputMessage="1" showErrorMessage="1" errorTitle="Änderung nicht möglich !" sqref="C140" xr:uid="{8C432547-8CAF-4743-8CB0-8EA777414048}">
      <formula1>Kabelverschraubungen</formula1>
    </dataValidation>
    <dataValidation type="list" errorStyle="warning" allowBlank="1" showInputMessage="1" showErrorMessage="1" errorTitle="Abweichender Wert !" error="Wenn abweichende Eingabe erforderlich, bitte fortfahren und die Zeile selbstständig gelb markieren! " sqref="E140:K140" xr:uid="{E9D67DAC-1176-4E08-8884-5AC69250D297}">
      <formula1>Anzahl</formula1>
    </dataValidation>
    <dataValidation type="list" showInputMessage="1" showErrorMessage="1" errorTitle="Änderung nicht möglich !" sqref="C149:F149" xr:uid="{A1DBBA0C-E765-4DE8-93D0-6DF887C06087}">
      <formula1>Oberfläche</formula1>
    </dataValidation>
    <dataValidation type="list" allowBlank="1" showInputMessage="1" showErrorMessage="1" errorTitle="Abweichender Wert !" error="Keine Abweichende Eingabe möglich !" sqref="I149:J149" xr:uid="{63E411B5-442D-4A62-93FB-F7AB3B7D7BB9}">
      <formula1>Farbe</formula1>
    </dataValidation>
    <dataValidation type="list" errorStyle="warning" allowBlank="1" showInputMessage="1" showErrorMessage="1" errorTitle="Abweichender Wert !" error="Wenn abweichende Eingabe erforderlich, bitte fortfahren und die Zeile selbstständig gelb markieren !" sqref="C158:H158" xr:uid="{879C99BF-B09E-48EC-ACCE-EE4863766F12}">
      <formula1>Beilage</formula1>
    </dataValidation>
    <dataValidation type="list" errorStyle="warning" showInputMessage="1" showErrorMessage="1" errorTitle="Abweichender Wert !" error="Wenn abweichende Eingabe erforderlich, bitte fortfahren und die Zeile selbstständig gelb markieren!" sqref="C4:D4" xr:uid="{A23BE70A-97D9-454F-81EC-16FC17257009}">
      <formula1>Position</formula1>
    </dataValidation>
    <dataValidation type="list" showInputMessage="1" showErrorMessage="1" errorTitle="Änderung nicht möglich !" sqref="C5:D5" xr:uid="{27AD3BD4-3E10-4079-8C92-C79CE435339D}">
      <formula1>Gruppe</formula1>
    </dataValidation>
    <dataValidation type="list" showInputMessage="1" showErrorMessage="1" errorTitle="Änderung nicht möglich !" sqref="G5:H5" xr:uid="{81AEDDDD-BA4C-417D-8B69-222C90C1C54F}">
      <formula1>Modelle</formula1>
    </dataValidation>
    <dataValidation type="list" errorStyle="warning" showErrorMessage="1" errorTitle="Abweichender Wert !" error="Wenn abweichende Eingabe erforderlich, bitte fortfahren und die Zeile selbstständig gelb markieren!" sqref="C2:D2" xr:uid="{5D892F1C-78AB-48ED-897A-F516802DE38C}">
      <formula1>Auftraggeber</formula1>
    </dataValidation>
    <dataValidation type="list" showInputMessage="1" showErrorMessage="1" errorTitle="Änderung nicht möglich !" sqref="G22:H22" xr:uid="{BCA5C66A-1C37-473E-8619-76BF3D6E43DB}">
      <formula1>Norm</formula1>
    </dataValidation>
    <dataValidation type="list" showInputMessage="1" showErrorMessage="1" errorTitle="Änderung nicht möglich !" sqref="I28:K28" xr:uid="{C4BA7E7D-B5AF-497C-8243-A0BC97B814D5}">
      <formula1>Isolatorhersteller</formula1>
    </dataValidation>
    <dataValidation type="list" allowBlank="1" showInputMessage="1" showErrorMessage="1" sqref="F46:K46" xr:uid="{25DDE926-5882-4E57-AA40-AE058A5D1FA0}">
      <formula1>Stoßzahl</formula1>
    </dataValidation>
    <dataValidation type="list" allowBlank="1" showInputMessage="1" showErrorMessage="1" sqref="F47:K47" xr:uid="{10F53965-ACB6-42BD-B61B-E71E20239D56}">
      <formula1>Negativ</formula1>
    </dataValidation>
    <dataValidation type="list" showInputMessage="1" showErrorMessage="1" errorTitle="Änderung nicht möglich !" sqref="E109:F109" xr:uid="{C31C6FA9-6590-4328-B6D2-6033D8236253}">
      <formula1>Druckangabe_LS</formula1>
    </dataValidation>
    <dataValidation type="list" showInputMessage="1" showErrorMessage="1" errorTitle="Änderung nicht möglich !" sqref="J3:K3" xr:uid="{16DFA80D-D374-426C-BCC3-B9E6A6190C3F}">
      <formula1>Projektkategorie</formula1>
    </dataValidation>
    <dataValidation type="list" showInputMessage="1" showErrorMessage="1" errorTitle="Änderung nicht möglich !" sqref="E7:F7" xr:uid="{D9F0723D-2339-48C2-90CC-39661C94E617}">
      <formula1>Druckbehälter</formula1>
    </dataValidation>
    <dataValidation type="list" showInputMessage="1" showErrorMessage="1" errorTitle="Änderung nicht möglich !" sqref="G23:H23" xr:uid="{7F218D2A-B49C-4FE4-871B-4ED997AA4FA9}">
      <formula1>Frequenz</formula1>
    </dataValidation>
    <dataValidation type="list" allowBlank="1" showInputMessage="1" showErrorMessage="1" errorTitle="Änderung nicht möglicht !" sqref="E36:F36" xr:uid="{929BA25F-2B72-43CD-B240-ADEAB360EBA4}">
      <formula1>Antwort_J</formula1>
    </dataValidation>
    <dataValidation type="list" showInputMessage="1" showErrorMessage="1" errorTitle="Änderung nicht möglicht !" sqref="C46 E37:F45" xr:uid="{2FA3B893-366C-43CE-8071-53BFFC53CF5B}">
      <formula1>Antwort_J</formula1>
    </dataValidation>
    <dataValidation type="list" errorStyle="warning" showInputMessage="1" showErrorMessage="1" errorTitle="Abweichender Wert !" error="Wenn abweichende Eingabe erforderlich, dann fortfahren und die Zeile selbstständig gelb markieren !" sqref="E110:F110" xr:uid="{3D9AF315-81DE-4E9F-8E3F-C5906451130B}">
      <formula1>Schaltkontakte</formula1>
    </dataValidation>
    <dataValidation type="list" allowBlank="1" showInputMessage="1" showErrorMessage="1" errorTitle="Änderung nicht möglich !" sqref="E111:F111 C157:H157 E132:F133 E135:F135" xr:uid="{D72DCFEC-FE9C-434F-9F1C-16B0B42AB2C2}">
      <formula1>Antwort_J</formula1>
    </dataValidation>
    <dataValidation type="list" showInputMessage="1" showErrorMessage="1" errorTitle="Änderung nicht möglich !" sqref="E112:F112 E114:F114 E136:F138 C139:D139 E144:F145 E154:F154 E117:F118" xr:uid="{7692BEC2-D960-4724-9F1A-A2C4E589A518}">
      <formula1>Antwort_J</formula1>
    </dataValidation>
    <dataValidation type="list" showInputMessage="1" showErrorMessage="1" errorTitle="Änderung nicht möglich !" sqref="E113:F113" xr:uid="{F947B89D-30DC-433F-B932-66EBA37CB35B}">
      <formula1>Antwort_N</formula1>
    </dataValidation>
    <dataValidation type="list" showInputMessage="1" showErrorMessage="1" errorTitle="Änderung nicht möglich !" sqref="E115:F115" xr:uid="{0EACBD36-D92B-411D-A4AB-07BAB992661A}">
      <formula1>Art_DW_Kontakte</formula1>
    </dataValidation>
    <dataValidation type="list" allowBlank="1" showInputMessage="1" showErrorMessage="1" errorTitle="Änderung nicht möglich !" sqref="E142:F142" xr:uid="{64257C5D-CA41-4066-81F0-66B97A588816}">
      <formula1>Sprachen</formula1>
    </dataValidation>
    <dataValidation type="list" showInputMessage="1" showErrorMessage="1" errorTitle="Änderung nicht möglich !" sqref="E143:F143" xr:uid="{F9679AF1-BD1D-417E-9D3B-1D6187B15F3C}">
      <formula1>LS</formula1>
    </dataValidation>
    <dataValidation type="list" showInputMessage="1" showErrorMessage="1" errorTitle="Abweichender Wert !" error="Keine Abweichende Eingabe möglich !" sqref="G149:H149" xr:uid="{2CD63333-3B30-44AB-801E-606702AB0505}">
      <formula1>Farbe</formula1>
    </dataValidation>
    <dataValidation type="list" showInputMessage="1" showErrorMessage="1" errorTitle="Änderung nicht möglich !" sqref="E151" xr:uid="{D4D211EB-294A-4386-BD4A-86BEB4656351}">
      <formula1>Primär</formula1>
    </dataValidation>
    <dataValidation type="list" showInputMessage="1" showErrorMessage="1" errorTitle="Änderung nicht möglich !" sqref="E152" xr:uid="{5FE3CD87-0A5F-4C1E-811C-BFEA4D10FFD9}">
      <formula1>Erdungsanschluß</formula1>
    </dataValidation>
    <dataValidation type="list" showInputMessage="1" showErrorMessage="1" errorTitle="Änderung nicht möglich !" sqref="E153:F153" xr:uid="{793466EB-EC37-4703-BA74-8C2546208A1B}">
      <formula1>Material</formula1>
    </dataValidation>
    <dataValidation type="list" showInputMessage="1" showErrorMessage="1" errorTitle="Änderung nicht möglich !" sqref="J114:K114" xr:uid="{DFE3AEC5-FEDB-482F-B590-8FB7B324E0EB}">
      <formula1>Neigung</formula1>
    </dataValidation>
    <dataValidation type="list" allowBlank="1" showInputMessage="1" showErrorMessage="1" sqref="J52:K52" xr:uid="{0C9EFAA2-EB32-4365-8686-7084760676B5}">
      <formula1>A</formula1>
    </dataValidation>
    <dataValidation type="list" allowBlank="1" showInputMessage="1" showErrorMessage="1" sqref="J59:K59" xr:uid="{B512B82B-383B-45B3-9C72-C137D1ADACF3}">
      <formula1>B</formula1>
    </dataValidation>
    <dataValidation type="list" errorStyle="warning" allowBlank="1" showInputMessage="1" showErrorMessage="1" errorTitle="Änderung nicht möglich !" promptTitle="Leckrate" prompt="Bitte Leckrate des Wandlers mit eingeben! _x000a_Achtung! Wert zählt als Basis für die Routineprüfung des Wandlers." sqref="E124:F124" xr:uid="{1A365725-26A9-4E27-84C3-68885CDC0454}">
      <formula1>p.a.</formula1>
    </dataValidation>
    <dataValidation type="list" allowBlank="1" showInputMessage="1" showErrorMessage="1" sqref="J25:K25" xr:uid="{31531C42-BCDD-45E0-A376-ECED6377BF22}">
      <formula1>GroßX</formula1>
    </dataValidation>
    <dataValidation type="list" allowBlank="1" showInputMessage="1" showErrorMessage="1" sqref="M9:M11" xr:uid="{9E3C323B-AD3D-4BC8-AFDF-A7707A6A212C}">
      <formula1>Produkts</formula1>
    </dataValidation>
    <dataValidation type="list" showInputMessage="1" showErrorMessage="1" errorTitle="Änderung nicht möglich !" sqref="E130:F130" xr:uid="{3B2A0FF0-3B3E-4618-A9ED-8D7A2DB693EB}">
      <formula1>Klemmen_DW</formula1>
    </dataValidation>
    <dataValidation type="list" allowBlank="1" showInputMessage="1" showErrorMessage="1" sqref="A63 A104" xr:uid="{F0212074-A938-47ED-97C8-8C02F9868FF3}">
      <formula1>Kali</formula1>
    </dataValidation>
  </dataValidations>
  <printOptions horizontalCentered="1"/>
  <pageMargins left="0.39370078740157483" right="0.39370078740157483" top="0.62992125984251968" bottom="0.27559055118110237" header="0.35433070866141736" footer="0.11811023622047245"/>
  <pageSetup paperSize="9" scale="62" fitToHeight="3" orientation="portrait" cellComments="asDisplayed" r:id="rId1"/>
  <headerFooter alignWithMargins="0">
    <oddHeader>&amp;C&amp;"Arial,Fett"&amp;20Auftragsdatenblatt GIF</oddHeader>
    <oddFooter>&amp;C&amp;8Vorlage Stand 9.6.2016&amp;R&amp;P von &amp;N&amp;LIntern  &amp;6&amp;Z&amp;F</oddFooter>
  </headerFooter>
  <rowBreaks count="2" manualBreakCount="2">
    <brk id="47" max="10" man="1"/>
    <brk id="124" max="10" man="1"/>
  </rowBreaks>
  <ignoredErrors>
    <ignoredError sqref="E146"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603" r:id="rId4" name="Speichern">
              <controlPr defaultSize="0" print="0" autoFill="0" autoPict="0" macro="[0]!Speichern">
                <anchor moveWithCells="1" sizeWithCells="1">
                  <from>
                    <xdr:col>10</xdr:col>
                    <xdr:colOff>57150</xdr:colOff>
                    <xdr:row>9</xdr:row>
                    <xdr:rowOff>19050</xdr:rowOff>
                  </from>
                  <to>
                    <xdr:col>10</xdr:col>
                    <xdr:colOff>781050</xdr:colOff>
                    <xdr:row>10</xdr:row>
                    <xdr:rowOff>0</xdr:rowOff>
                  </to>
                </anchor>
              </controlPr>
            </control>
          </mc:Choice>
        </mc:AlternateContent>
        <mc:AlternateContent xmlns:mc="http://schemas.openxmlformats.org/markup-compatibility/2006">
          <mc:Choice Requires="x14">
            <control shapeId="1078" r:id="rId5" name="Group Box 54">
              <controlPr defaultSize="0" autoFill="0" autoPict="0">
                <anchor moveWithCells="1" sizeWithCells="1">
                  <from>
                    <xdr:col>0</xdr:col>
                    <xdr:colOff>0</xdr:colOff>
                    <xdr:row>55</xdr:row>
                    <xdr:rowOff>0</xdr:rowOff>
                  </from>
                  <to>
                    <xdr:col>2</xdr:col>
                    <xdr:colOff>0</xdr:colOff>
                    <xdr:row>57</xdr:row>
                    <xdr:rowOff>0</xdr:rowOff>
                  </to>
                </anchor>
              </controlPr>
            </control>
          </mc:Choice>
        </mc:AlternateContent>
        <mc:AlternateContent xmlns:mc="http://schemas.openxmlformats.org/markup-compatibility/2006">
          <mc:Choice Requires="x14">
            <control shapeId="1085" r:id="rId6" name="Group Box 61">
              <controlPr defaultSize="0" autoFill="0" autoPict="0">
                <anchor moveWithCells="1" sizeWithCells="1">
                  <from>
                    <xdr:col>0</xdr:col>
                    <xdr:colOff>0</xdr:colOff>
                    <xdr:row>57</xdr:row>
                    <xdr:rowOff>0</xdr:rowOff>
                  </from>
                  <to>
                    <xdr:col>2</xdr:col>
                    <xdr:colOff>0</xdr:colOff>
                    <xdr:row>59</xdr:row>
                    <xdr:rowOff>0</xdr:rowOff>
                  </to>
                </anchor>
              </controlPr>
            </control>
          </mc:Choice>
        </mc:AlternateContent>
        <mc:AlternateContent xmlns:mc="http://schemas.openxmlformats.org/markup-compatibility/2006">
          <mc:Choice Requires="x14">
            <control shapeId="1916" r:id="rId7" name="Group Box 892">
              <controlPr defaultSize="0" autoFill="0" autoPict="0" altText="">
                <anchor moveWithCells="1" sizeWithCells="1">
                  <from>
                    <xdr:col>4</xdr:col>
                    <xdr:colOff>0</xdr:colOff>
                    <xdr:row>110</xdr:row>
                    <xdr:rowOff>0</xdr:rowOff>
                  </from>
                  <to>
                    <xdr:col>6</xdr:col>
                    <xdr:colOff>0</xdr:colOff>
                    <xdr:row>112</xdr:row>
                    <xdr:rowOff>0</xdr:rowOff>
                  </to>
                </anchor>
              </controlPr>
            </control>
          </mc:Choice>
        </mc:AlternateContent>
        <mc:AlternateContent xmlns:mc="http://schemas.openxmlformats.org/markup-compatibility/2006">
          <mc:Choice Requires="x14">
            <control shapeId="1918" r:id="rId8" name="Group Box 894">
              <controlPr defaultSize="0" autoFill="0" autoPict="0" altText="">
                <anchor moveWithCells="1" sizeWithCells="1">
                  <from>
                    <xdr:col>4</xdr:col>
                    <xdr:colOff>0</xdr:colOff>
                    <xdr:row>111</xdr:row>
                    <xdr:rowOff>0</xdr:rowOff>
                  </from>
                  <to>
                    <xdr:col>6</xdr:col>
                    <xdr:colOff>0</xdr:colOff>
                    <xdr:row>113</xdr:row>
                    <xdr:rowOff>0</xdr:rowOff>
                  </to>
                </anchor>
              </controlPr>
            </control>
          </mc:Choice>
        </mc:AlternateContent>
        <mc:AlternateContent xmlns:mc="http://schemas.openxmlformats.org/markup-compatibility/2006">
          <mc:Choice Requires="x14">
            <control shapeId="1919" r:id="rId9" name="Group Box 895">
              <controlPr defaultSize="0" autoFill="0" autoPict="0" altText="">
                <anchor moveWithCells="1" sizeWithCells="1">
                  <from>
                    <xdr:col>4</xdr:col>
                    <xdr:colOff>0</xdr:colOff>
                    <xdr:row>112</xdr:row>
                    <xdr:rowOff>0</xdr:rowOff>
                  </from>
                  <to>
                    <xdr:col>5</xdr:col>
                    <xdr:colOff>781050</xdr:colOff>
                    <xdr:row>114</xdr:row>
                    <xdr:rowOff>0</xdr:rowOff>
                  </to>
                </anchor>
              </controlPr>
            </control>
          </mc:Choice>
        </mc:AlternateContent>
        <mc:AlternateContent xmlns:mc="http://schemas.openxmlformats.org/markup-compatibility/2006">
          <mc:Choice Requires="x14">
            <control shapeId="1926" r:id="rId10" name="Group Box 902">
              <controlPr defaultSize="0" autoFill="0" autoPict="0" altText="">
                <anchor moveWithCells="1" sizeWithCells="1">
                  <from>
                    <xdr:col>4</xdr:col>
                    <xdr:colOff>0</xdr:colOff>
                    <xdr:row>115</xdr:row>
                    <xdr:rowOff>0</xdr:rowOff>
                  </from>
                  <to>
                    <xdr:col>6</xdr:col>
                    <xdr:colOff>0</xdr:colOff>
                    <xdr:row>116</xdr:row>
                    <xdr:rowOff>0</xdr:rowOff>
                  </to>
                </anchor>
              </controlPr>
            </control>
          </mc:Choice>
        </mc:AlternateContent>
        <mc:AlternateContent xmlns:mc="http://schemas.openxmlformats.org/markup-compatibility/2006">
          <mc:Choice Requires="x14">
            <control shapeId="1927" r:id="rId11" name="Group Box 903">
              <controlPr defaultSize="0" autoFill="0" autoPict="0" altText="">
                <anchor moveWithCells="1" sizeWithCells="1">
                  <from>
                    <xdr:col>4</xdr:col>
                    <xdr:colOff>0</xdr:colOff>
                    <xdr:row>115</xdr:row>
                    <xdr:rowOff>0</xdr:rowOff>
                  </from>
                  <to>
                    <xdr:col>6</xdr:col>
                    <xdr:colOff>0</xdr:colOff>
                    <xdr:row>116</xdr:row>
                    <xdr:rowOff>0</xdr:rowOff>
                  </to>
                </anchor>
              </controlPr>
            </control>
          </mc:Choice>
        </mc:AlternateContent>
        <mc:AlternateContent xmlns:mc="http://schemas.openxmlformats.org/markup-compatibility/2006">
          <mc:Choice Requires="x14">
            <control shapeId="1931" r:id="rId12" name="Group Box 907">
              <controlPr defaultSize="0" autoFill="0" autoPict="0" altText="">
                <anchor moveWithCells="1" sizeWithCells="1">
                  <from>
                    <xdr:col>4</xdr:col>
                    <xdr:colOff>0</xdr:colOff>
                    <xdr:row>116</xdr:row>
                    <xdr:rowOff>0</xdr:rowOff>
                  </from>
                  <to>
                    <xdr:col>6</xdr:col>
                    <xdr:colOff>0</xdr:colOff>
                    <xdr:row>118</xdr:row>
                    <xdr:rowOff>0</xdr:rowOff>
                  </to>
                </anchor>
              </controlPr>
            </control>
          </mc:Choice>
        </mc:AlternateContent>
        <mc:AlternateContent xmlns:mc="http://schemas.openxmlformats.org/markup-compatibility/2006">
          <mc:Choice Requires="x14">
            <control shapeId="1936" r:id="rId13" name="Group Box 912">
              <controlPr defaultSize="0" autoFill="0" autoPict="0" altText="">
                <anchor moveWithCells="1" sizeWithCells="1">
                  <from>
                    <xdr:col>4</xdr:col>
                    <xdr:colOff>0</xdr:colOff>
                    <xdr:row>129</xdr:row>
                    <xdr:rowOff>0</xdr:rowOff>
                  </from>
                  <to>
                    <xdr:col>6</xdr:col>
                    <xdr:colOff>0</xdr:colOff>
                    <xdr:row>131</xdr:row>
                    <xdr:rowOff>0</xdr:rowOff>
                  </to>
                </anchor>
              </controlPr>
            </control>
          </mc:Choice>
        </mc:AlternateContent>
        <mc:AlternateContent xmlns:mc="http://schemas.openxmlformats.org/markup-compatibility/2006">
          <mc:Choice Requires="x14">
            <control shapeId="1937" r:id="rId14" name="Group Box 913">
              <controlPr defaultSize="0" autoFill="0" autoPict="0" altText="">
                <anchor moveWithCells="1" sizeWithCells="1">
                  <from>
                    <xdr:col>4</xdr:col>
                    <xdr:colOff>0</xdr:colOff>
                    <xdr:row>129</xdr:row>
                    <xdr:rowOff>0</xdr:rowOff>
                  </from>
                  <to>
                    <xdr:col>6</xdr:col>
                    <xdr:colOff>0</xdr:colOff>
                    <xdr:row>131</xdr:row>
                    <xdr:rowOff>0</xdr:rowOff>
                  </to>
                </anchor>
              </controlPr>
            </control>
          </mc:Choice>
        </mc:AlternateContent>
        <mc:AlternateContent xmlns:mc="http://schemas.openxmlformats.org/markup-compatibility/2006">
          <mc:Choice Requires="x14">
            <control shapeId="1941" r:id="rId15" name="Group Box 917">
              <controlPr defaultSize="0" autoFill="0" autoPict="0" altText="">
                <anchor moveWithCells="1" sizeWithCells="1">
                  <from>
                    <xdr:col>4</xdr:col>
                    <xdr:colOff>0</xdr:colOff>
                    <xdr:row>130</xdr:row>
                    <xdr:rowOff>0</xdr:rowOff>
                  </from>
                  <to>
                    <xdr:col>6</xdr:col>
                    <xdr:colOff>0</xdr:colOff>
                    <xdr:row>132</xdr:row>
                    <xdr:rowOff>0</xdr:rowOff>
                  </to>
                </anchor>
              </controlPr>
            </control>
          </mc:Choice>
        </mc:AlternateContent>
        <mc:AlternateContent xmlns:mc="http://schemas.openxmlformats.org/markup-compatibility/2006">
          <mc:Choice Requires="x14">
            <control shapeId="1944" r:id="rId16" name="Group Box 920">
              <controlPr defaultSize="0" autoFill="0" autoPict="0" altText="">
                <anchor moveWithCells="1" sizeWithCells="1">
                  <from>
                    <xdr:col>4</xdr:col>
                    <xdr:colOff>0</xdr:colOff>
                    <xdr:row>131</xdr:row>
                    <xdr:rowOff>0</xdr:rowOff>
                  </from>
                  <to>
                    <xdr:col>6</xdr:col>
                    <xdr:colOff>0</xdr:colOff>
                    <xdr:row>134</xdr:row>
                    <xdr:rowOff>0</xdr:rowOff>
                  </to>
                </anchor>
              </controlPr>
            </control>
          </mc:Choice>
        </mc:AlternateContent>
        <mc:AlternateContent xmlns:mc="http://schemas.openxmlformats.org/markup-compatibility/2006">
          <mc:Choice Requires="x14">
            <control shapeId="1945" r:id="rId17" name="Group Box 921">
              <controlPr defaultSize="0" autoFill="0" autoPict="0" altText="">
                <anchor moveWithCells="1" sizeWithCells="1">
                  <from>
                    <xdr:col>4</xdr:col>
                    <xdr:colOff>0</xdr:colOff>
                    <xdr:row>131</xdr:row>
                    <xdr:rowOff>0</xdr:rowOff>
                  </from>
                  <to>
                    <xdr:col>6</xdr:col>
                    <xdr:colOff>0</xdr:colOff>
                    <xdr:row>134</xdr:row>
                    <xdr:rowOff>0</xdr:rowOff>
                  </to>
                </anchor>
              </controlPr>
            </control>
          </mc:Choice>
        </mc:AlternateContent>
        <mc:AlternateContent xmlns:mc="http://schemas.openxmlformats.org/markup-compatibility/2006">
          <mc:Choice Requires="x14">
            <control shapeId="1946" r:id="rId18" name="Group Box 922">
              <controlPr defaultSize="0" autoFill="0" autoPict="0" altText="">
                <anchor moveWithCells="1" sizeWithCells="1">
                  <from>
                    <xdr:col>4</xdr:col>
                    <xdr:colOff>0</xdr:colOff>
                    <xdr:row>133</xdr:row>
                    <xdr:rowOff>0</xdr:rowOff>
                  </from>
                  <to>
                    <xdr:col>6</xdr:col>
                    <xdr:colOff>0</xdr:colOff>
                    <xdr:row>136</xdr:row>
                    <xdr:rowOff>0</xdr:rowOff>
                  </to>
                </anchor>
              </controlPr>
            </control>
          </mc:Choice>
        </mc:AlternateContent>
        <mc:AlternateContent xmlns:mc="http://schemas.openxmlformats.org/markup-compatibility/2006">
          <mc:Choice Requires="x14">
            <control shapeId="1947" r:id="rId19" name="Group Box 923">
              <controlPr defaultSize="0" autoFill="0" autoPict="0" altText="">
                <anchor moveWithCells="1" sizeWithCells="1">
                  <from>
                    <xdr:col>4</xdr:col>
                    <xdr:colOff>0</xdr:colOff>
                    <xdr:row>133</xdr:row>
                    <xdr:rowOff>0</xdr:rowOff>
                  </from>
                  <to>
                    <xdr:col>6</xdr:col>
                    <xdr:colOff>0</xdr:colOff>
                    <xdr:row>136</xdr:row>
                    <xdr:rowOff>0</xdr:rowOff>
                  </to>
                </anchor>
              </controlPr>
            </control>
          </mc:Choice>
        </mc:AlternateContent>
        <mc:AlternateContent xmlns:mc="http://schemas.openxmlformats.org/markup-compatibility/2006">
          <mc:Choice Requires="x14">
            <control shapeId="1948" r:id="rId20" name="Group Box 924">
              <controlPr defaultSize="0" autoFill="0" autoPict="0" altText="">
                <anchor moveWithCells="1" sizeWithCells="1">
                  <from>
                    <xdr:col>4</xdr:col>
                    <xdr:colOff>0</xdr:colOff>
                    <xdr:row>135</xdr:row>
                    <xdr:rowOff>0</xdr:rowOff>
                  </from>
                  <to>
                    <xdr:col>6</xdr:col>
                    <xdr:colOff>0</xdr:colOff>
                    <xdr:row>137</xdr:row>
                    <xdr:rowOff>0</xdr:rowOff>
                  </to>
                </anchor>
              </controlPr>
            </control>
          </mc:Choice>
        </mc:AlternateContent>
        <mc:AlternateContent xmlns:mc="http://schemas.openxmlformats.org/markup-compatibility/2006">
          <mc:Choice Requires="x14">
            <control shapeId="1949" r:id="rId21" name="Group Box 925">
              <controlPr defaultSize="0" autoFill="0" autoPict="0" altText="">
                <anchor moveWithCells="1" sizeWithCells="1">
                  <from>
                    <xdr:col>4</xdr:col>
                    <xdr:colOff>0</xdr:colOff>
                    <xdr:row>135</xdr:row>
                    <xdr:rowOff>0</xdr:rowOff>
                  </from>
                  <to>
                    <xdr:col>6</xdr:col>
                    <xdr:colOff>0</xdr:colOff>
                    <xdr:row>137</xdr:row>
                    <xdr:rowOff>0</xdr:rowOff>
                  </to>
                </anchor>
              </controlPr>
            </control>
          </mc:Choice>
        </mc:AlternateContent>
        <mc:AlternateContent xmlns:mc="http://schemas.openxmlformats.org/markup-compatibility/2006">
          <mc:Choice Requires="x14">
            <control shapeId="1950" r:id="rId22" name="Group Box 926">
              <controlPr defaultSize="0" autoFill="0" autoPict="0" altText="">
                <anchor moveWithCells="1" sizeWithCells="1">
                  <from>
                    <xdr:col>4</xdr:col>
                    <xdr:colOff>0</xdr:colOff>
                    <xdr:row>136</xdr:row>
                    <xdr:rowOff>0</xdr:rowOff>
                  </from>
                  <to>
                    <xdr:col>6</xdr:col>
                    <xdr:colOff>0</xdr:colOff>
                    <xdr:row>137</xdr:row>
                    <xdr:rowOff>0</xdr:rowOff>
                  </to>
                </anchor>
              </controlPr>
            </control>
          </mc:Choice>
        </mc:AlternateContent>
        <mc:AlternateContent xmlns:mc="http://schemas.openxmlformats.org/markup-compatibility/2006">
          <mc:Choice Requires="x14">
            <control shapeId="1951" r:id="rId23" name="Group Box 927">
              <controlPr defaultSize="0" autoFill="0" autoPict="0" altText="">
                <anchor moveWithCells="1" sizeWithCells="1">
                  <from>
                    <xdr:col>4</xdr:col>
                    <xdr:colOff>0</xdr:colOff>
                    <xdr:row>136</xdr:row>
                    <xdr:rowOff>0</xdr:rowOff>
                  </from>
                  <to>
                    <xdr:col>6</xdr:col>
                    <xdr:colOff>0</xdr:colOff>
                    <xdr:row>137</xdr:row>
                    <xdr:rowOff>0</xdr:rowOff>
                  </to>
                </anchor>
              </controlPr>
            </control>
          </mc:Choice>
        </mc:AlternateContent>
        <mc:AlternateContent xmlns:mc="http://schemas.openxmlformats.org/markup-compatibility/2006">
          <mc:Choice Requires="x14">
            <control shapeId="1953" r:id="rId24" name="Group Box 929">
              <controlPr defaultSize="0" autoFill="0" autoPict="0" altText="">
                <anchor moveWithCells="1" sizeWithCells="1">
                  <from>
                    <xdr:col>4</xdr:col>
                    <xdr:colOff>0</xdr:colOff>
                    <xdr:row>135</xdr:row>
                    <xdr:rowOff>0</xdr:rowOff>
                  </from>
                  <to>
                    <xdr:col>6</xdr:col>
                    <xdr:colOff>0</xdr:colOff>
                    <xdr:row>137</xdr:row>
                    <xdr:rowOff>0</xdr:rowOff>
                  </to>
                </anchor>
              </controlPr>
            </control>
          </mc:Choice>
        </mc:AlternateContent>
        <mc:AlternateContent xmlns:mc="http://schemas.openxmlformats.org/markup-compatibility/2006">
          <mc:Choice Requires="x14">
            <control shapeId="1954" r:id="rId25" name="Group Box 930">
              <controlPr defaultSize="0" autoFill="0" autoPict="0" altText="">
                <anchor moveWithCells="1" sizeWithCells="1">
                  <from>
                    <xdr:col>4</xdr:col>
                    <xdr:colOff>0</xdr:colOff>
                    <xdr:row>135</xdr:row>
                    <xdr:rowOff>0</xdr:rowOff>
                  </from>
                  <to>
                    <xdr:col>6</xdr:col>
                    <xdr:colOff>0</xdr:colOff>
                    <xdr:row>137</xdr:row>
                    <xdr:rowOff>0</xdr:rowOff>
                  </to>
                </anchor>
              </controlPr>
            </control>
          </mc:Choice>
        </mc:AlternateContent>
        <mc:AlternateContent xmlns:mc="http://schemas.openxmlformats.org/markup-compatibility/2006">
          <mc:Choice Requires="x14">
            <control shapeId="1955" r:id="rId26" name="Group Box 931">
              <controlPr defaultSize="0" autoFill="0" autoPict="0" altText="">
                <anchor moveWithCells="1" sizeWithCells="1">
                  <from>
                    <xdr:col>4</xdr:col>
                    <xdr:colOff>0</xdr:colOff>
                    <xdr:row>136</xdr:row>
                    <xdr:rowOff>0</xdr:rowOff>
                  </from>
                  <to>
                    <xdr:col>6</xdr:col>
                    <xdr:colOff>0</xdr:colOff>
                    <xdr:row>137</xdr:row>
                    <xdr:rowOff>0</xdr:rowOff>
                  </to>
                </anchor>
              </controlPr>
            </control>
          </mc:Choice>
        </mc:AlternateContent>
        <mc:AlternateContent xmlns:mc="http://schemas.openxmlformats.org/markup-compatibility/2006">
          <mc:Choice Requires="x14">
            <control shapeId="1956" r:id="rId27" name="Group Box 932">
              <controlPr defaultSize="0" autoFill="0" autoPict="0" altText="">
                <anchor moveWithCells="1" sizeWithCells="1">
                  <from>
                    <xdr:col>4</xdr:col>
                    <xdr:colOff>0</xdr:colOff>
                    <xdr:row>136</xdr:row>
                    <xdr:rowOff>0</xdr:rowOff>
                  </from>
                  <to>
                    <xdr:col>6</xdr:col>
                    <xdr:colOff>0</xdr:colOff>
                    <xdr:row>137</xdr:row>
                    <xdr:rowOff>0</xdr:rowOff>
                  </to>
                </anchor>
              </controlPr>
            </control>
          </mc:Choice>
        </mc:AlternateContent>
        <mc:AlternateContent xmlns:mc="http://schemas.openxmlformats.org/markup-compatibility/2006">
          <mc:Choice Requires="x14">
            <control shapeId="1961" r:id="rId28" name="Group Box 937">
              <controlPr defaultSize="0" autoFill="0" autoPict="0" altText="">
                <anchor moveWithCells="1" sizeWithCells="1">
                  <from>
                    <xdr:col>4</xdr:col>
                    <xdr:colOff>0</xdr:colOff>
                    <xdr:row>137</xdr:row>
                    <xdr:rowOff>0</xdr:rowOff>
                  </from>
                  <to>
                    <xdr:col>6</xdr:col>
                    <xdr:colOff>0</xdr:colOff>
                    <xdr:row>138</xdr:row>
                    <xdr:rowOff>0</xdr:rowOff>
                  </to>
                </anchor>
              </controlPr>
            </control>
          </mc:Choice>
        </mc:AlternateContent>
        <mc:AlternateContent xmlns:mc="http://schemas.openxmlformats.org/markup-compatibility/2006">
          <mc:Choice Requires="x14">
            <control shapeId="1962" r:id="rId29" name="Group Box 938">
              <controlPr defaultSize="0" autoFill="0" autoPict="0" altText="">
                <anchor moveWithCells="1" sizeWithCells="1">
                  <from>
                    <xdr:col>4</xdr:col>
                    <xdr:colOff>0</xdr:colOff>
                    <xdr:row>137</xdr:row>
                    <xdr:rowOff>0</xdr:rowOff>
                  </from>
                  <to>
                    <xdr:col>6</xdr:col>
                    <xdr:colOff>0</xdr:colOff>
                    <xdr:row>138</xdr:row>
                    <xdr:rowOff>0</xdr:rowOff>
                  </to>
                </anchor>
              </controlPr>
            </control>
          </mc:Choice>
        </mc:AlternateContent>
        <mc:AlternateContent xmlns:mc="http://schemas.openxmlformats.org/markup-compatibility/2006">
          <mc:Choice Requires="x14">
            <control shapeId="1963" r:id="rId30" name="Group Box 939">
              <controlPr defaultSize="0" autoFill="0" autoPict="0" altText="">
                <anchor moveWithCells="1" sizeWithCells="1">
                  <from>
                    <xdr:col>4</xdr:col>
                    <xdr:colOff>0</xdr:colOff>
                    <xdr:row>137</xdr:row>
                    <xdr:rowOff>0</xdr:rowOff>
                  </from>
                  <to>
                    <xdr:col>6</xdr:col>
                    <xdr:colOff>0</xdr:colOff>
                    <xdr:row>138</xdr:row>
                    <xdr:rowOff>0</xdr:rowOff>
                  </to>
                </anchor>
              </controlPr>
            </control>
          </mc:Choice>
        </mc:AlternateContent>
        <mc:AlternateContent xmlns:mc="http://schemas.openxmlformats.org/markup-compatibility/2006">
          <mc:Choice Requires="x14">
            <control shapeId="1964" r:id="rId31" name="Group Box 940">
              <controlPr defaultSize="0" autoFill="0" autoPict="0" altText="">
                <anchor moveWithCells="1" sizeWithCells="1">
                  <from>
                    <xdr:col>4</xdr:col>
                    <xdr:colOff>0</xdr:colOff>
                    <xdr:row>137</xdr:row>
                    <xdr:rowOff>0</xdr:rowOff>
                  </from>
                  <to>
                    <xdr:col>6</xdr:col>
                    <xdr:colOff>0</xdr:colOff>
                    <xdr:row>138</xdr:row>
                    <xdr:rowOff>0</xdr:rowOff>
                  </to>
                </anchor>
              </controlPr>
            </control>
          </mc:Choice>
        </mc:AlternateContent>
        <mc:AlternateContent xmlns:mc="http://schemas.openxmlformats.org/markup-compatibility/2006">
          <mc:Choice Requires="x14">
            <control shapeId="1965" r:id="rId32" name="Group Box 941">
              <controlPr defaultSize="0" autoFill="0" autoPict="0" altText="">
                <anchor moveWithCells="1" sizeWithCells="1">
                  <from>
                    <xdr:col>4</xdr:col>
                    <xdr:colOff>0</xdr:colOff>
                    <xdr:row>136</xdr:row>
                    <xdr:rowOff>0</xdr:rowOff>
                  </from>
                  <to>
                    <xdr:col>6</xdr:col>
                    <xdr:colOff>0</xdr:colOff>
                    <xdr:row>137</xdr:row>
                    <xdr:rowOff>0</xdr:rowOff>
                  </to>
                </anchor>
              </controlPr>
            </control>
          </mc:Choice>
        </mc:AlternateContent>
        <mc:AlternateContent xmlns:mc="http://schemas.openxmlformats.org/markup-compatibility/2006">
          <mc:Choice Requires="x14">
            <control shapeId="1966" r:id="rId33" name="Group Box 942">
              <controlPr defaultSize="0" autoFill="0" autoPict="0" altText="">
                <anchor moveWithCells="1" sizeWithCells="1">
                  <from>
                    <xdr:col>4</xdr:col>
                    <xdr:colOff>0</xdr:colOff>
                    <xdr:row>136</xdr:row>
                    <xdr:rowOff>0</xdr:rowOff>
                  </from>
                  <to>
                    <xdr:col>6</xdr:col>
                    <xdr:colOff>0</xdr:colOff>
                    <xdr:row>137</xdr:row>
                    <xdr:rowOff>0</xdr:rowOff>
                  </to>
                </anchor>
              </controlPr>
            </control>
          </mc:Choice>
        </mc:AlternateContent>
        <mc:AlternateContent xmlns:mc="http://schemas.openxmlformats.org/markup-compatibility/2006">
          <mc:Choice Requires="x14">
            <control shapeId="1967" r:id="rId34" name="Group Box 943">
              <controlPr defaultSize="0" autoFill="0" autoPict="0" altText="">
                <anchor moveWithCells="1" sizeWithCells="1">
                  <from>
                    <xdr:col>4</xdr:col>
                    <xdr:colOff>0</xdr:colOff>
                    <xdr:row>137</xdr:row>
                    <xdr:rowOff>0</xdr:rowOff>
                  </from>
                  <to>
                    <xdr:col>6</xdr:col>
                    <xdr:colOff>0</xdr:colOff>
                    <xdr:row>138</xdr:row>
                    <xdr:rowOff>0</xdr:rowOff>
                  </to>
                </anchor>
              </controlPr>
            </control>
          </mc:Choice>
        </mc:AlternateContent>
        <mc:AlternateContent xmlns:mc="http://schemas.openxmlformats.org/markup-compatibility/2006">
          <mc:Choice Requires="x14">
            <control shapeId="1968" r:id="rId35" name="Group Box 944">
              <controlPr defaultSize="0" autoFill="0" autoPict="0" altText="">
                <anchor moveWithCells="1" sizeWithCells="1">
                  <from>
                    <xdr:col>4</xdr:col>
                    <xdr:colOff>0</xdr:colOff>
                    <xdr:row>137</xdr:row>
                    <xdr:rowOff>0</xdr:rowOff>
                  </from>
                  <to>
                    <xdr:col>6</xdr:col>
                    <xdr:colOff>0</xdr:colOff>
                    <xdr:row>138</xdr:row>
                    <xdr:rowOff>0</xdr:rowOff>
                  </to>
                </anchor>
              </controlPr>
            </control>
          </mc:Choice>
        </mc:AlternateContent>
        <mc:AlternateContent xmlns:mc="http://schemas.openxmlformats.org/markup-compatibility/2006">
          <mc:Choice Requires="x14">
            <control shapeId="1969" r:id="rId36" name="Group Box 945">
              <controlPr defaultSize="0" autoFill="0" autoPict="0" altText="">
                <anchor moveWithCells="1" sizeWithCells="1">
                  <from>
                    <xdr:col>4</xdr:col>
                    <xdr:colOff>0</xdr:colOff>
                    <xdr:row>136</xdr:row>
                    <xdr:rowOff>0</xdr:rowOff>
                  </from>
                  <to>
                    <xdr:col>6</xdr:col>
                    <xdr:colOff>0</xdr:colOff>
                    <xdr:row>137</xdr:row>
                    <xdr:rowOff>0</xdr:rowOff>
                  </to>
                </anchor>
              </controlPr>
            </control>
          </mc:Choice>
        </mc:AlternateContent>
        <mc:AlternateContent xmlns:mc="http://schemas.openxmlformats.org/markup-compatibility/2006">
          <mc:Choice Requires="x14">
            <control shapeId="1970" r:id="rId37" name="Group Box 946">
              <controlPr defaultSize="0" autoFill="0" autoPict="0" altText="">
                <anchor moveWithCells="1" sizeWithCells="1">
                  <from>
                    <xdr:col>4</xdr:col>
                    <xdr:colOff>0</xdr:colOff>
                    <xdr:row>136</xdr:row>
                    <xdr:rowOff>0</xdr:rowOff>
                  </from>
                  <to>
                    <xdr:col>6</xdr:col>
                    <xdr:colOff>0</xdr:colOff>
                    <xdr:row>137</xdr:row>
                    <xdr:rowOff>0</xdr:rowOff>
                  </to>
                </anchor>
              </controlPr>
            </control>
          </mc:Choice>
        </mc:AlternateContent>
        <mc:AlternateContent xmlns:mc="http://schemas.openxmlformats.org/markup-compatibility/2006">
          <mc:Choice Requires="x14">
            <control shapeId="1971" r:id="rId38" name="Group Box 947">
              <controlPr defaultSize="0" autoFill="0" autoPict="0" altText="">
                <anchor moveWithCells="1" sizeWithCells="1">
                  <from>
                    <xdr:col>4</xdr:col>
                    <xdr:colOff>0</xdr:colOff>
                    <xdr:row>137</xdr:row>
                    <xdr:rowOff>0</xdr:rowOff>
                  </from>
                  <to>
                    <xdr:col>6</xdr:col>
                    <xdr:colOff>0</xdr:colOff>
                    <xdr:row>138</xdr:row>
                    <xdr:rowOff>0</xdr:rowOff>
                  </to>
                </anchor>
              </controlPr>
            </control>
          </mc:Choice>
        </mc:AlternateContent>
        <mc:AlternateContent xmlns:mc="http://schemas.openxmlformats.org/markup-compatibility/2006">
          <mc:Choice Requires="x14">
            <control shapeId="1972" r:id="rId39" name="Group Box 948">
              <controlPr defaultSize="0" autoFill="0" autoPict="0" altText="">
                <anchor moveWithCells="1" sizeWithCells="1">
                  <from>
                    <xdr:col>4</xdr:col>
                    <xdr:colOff>0</xdr:colOff>
                    <xdr:row>137</xdr:row>
                    <xdr:rowOff>0</xdr:rowOff>
                  </from>
                  <to>
                    <xdr:col>6</xdr:col>
                    <xdr:colOff>0</xdr:colOff>
                    <xdr:row>138</xdr:row>
                    <xdr:rowOff>0</xdr:rowOff>
                  </to>
                </anchor>
              </controlPr>
            </control>
          </mc:Choice>
        </mc:AlternateContent>
        <mc:AlternateContent xmlns:mc="http://schemas.openxmlformats.org/markup-compatibility/2006">
          <mc:Choice Requires="x14">
            <control shapeId="1973" r:id="rId40" name="Group Box 949">
              <controlPr defaultSize="0" autoFill="0" autoPict="0" altText="">
                <anchor moveWithCells="1" sizeWithCells="1">
                  <from>
                    <xdr:col>4</xdr:col>
                    <xdr:colOff>0</xdr:colOff>
                    <xdr:row>137</xdr:row>
                    <xdr:rowOff>0</xdr:rowOff>
                  </from>
                  <to>
                    <xdr:col>6</xdr:col>
                    <xdr:colOff>0</xdr:colOff>
                    <xdr:row>138</xdr:row>
                    <xdr:rowOff>0</xdr:rowOff>
                  </to>
                </anchor>
              </controlPr>
            </control>
          </mc:Choice>
        </mc:AlternateContent>
        <mc:AlternateContent xmlns:mc="http://schemas.openxmlformats.org/markup-compatibility/2006">
          <mc:Choice Requires="x14">
            <control shapeId="1974" r:id="rId41" name="Group Box 950">
              <controlPr defaultSize="0" autoFill="0" autoPict="0" altText="">
                <anchor moveWithCells="1" sizeWithCells="1">
                  <from>
                    <xdr:col>4</xdr:col>
                    <xdr:colOff>0</xdr:colOff>
                    <xdr:row>137</xdr:row>
                    <xdr:rowOff>0</xdr:rowOff>
                  </from>
                  <to>
                    <xdr:col>6</xdr:col>
                    <xdr:colOff>0</xdr:colOff>
                    <xdr:row>138</xdr:row>
                    <xdr:rowOff>0</xdr:rowOff>
                  </to>
                </anchor>
              </controlPr>
            </control>
          </mc:Choice>
        </mc:AlternateContent>
        <mc:AlternateContent xmlns:mc="http://schemas.openxmlformats.org/markup-compatibility/2006">
          <mc:Choice Requires="x14">
            <control shapeId="1975" r:id="rId42" name="Group Box 951">
              <controlPr defaultSize="0" autoFill="0" autoPict="0" altText="">
                <anchor moveWithCells="1" sizeWithCells="1">
                  <from>
                    <xdr:col>4</xdr:col>
                    <xdr:colOff>0</xdr:colOff>
                    <xdr:row>137</xdr:row>
                    <xdr:rowOff>0</xdr:rowOff>
                  </from>
                  <to>
                    <xdr:col>6</xdr:col>
                    <xdr:colOff>0</xdr:colOff>
                    <xdr:row>138</xdr:row>
                    <xdr:rowOff>0</xdr:rowOff>
                  </to>
                </anchor>
              </controlPr>
            </control>
          </mc:Choice>
        </mc:AlternateContent>
        <mc:AlternateContent xmlns:mc="http://schemas.openxmlformats.org/markup-compatibility/2006">
          <mc:Choice Requires="x14">
            <control shapeId="1976" r:id="rId43" name="Group Box 952">
              <controlPr defaultSize="0" autoFill="0" autoPict="0" altText="">
                <anchor moveWithCells="1" sizeWithCells="1">
                  <from>
                    <xdr:col>4</xdr:col>
                    <xdr:colOff>0</xdr:colOff>
                    <xdr:row>137</xdr:row>
                    <xdr:rowOff>0</xdr:rowOff>
                  </from>
                  <to>
                    <xdr:col>6</xdr:col>
                    <xdr:colOff>0</xdr:colOff>
                    <xdr:row>138</xdr:row>
                    <xdr:rowOff>0</xdr:rowOff>
                  </to>
                </anchor>
              </controlPr>
            </control>
          </mc:Choice>
        </mc:AlternateContent>
        <mc:AlternateContent xmlns:mc="http://schemas.openxmlformats.org/markup-compatibility/2006">
          <mc:Choice Requires="x14">
            <control shapeId="1981" r:id="rId44" name="Group Box 957">
              <controlPr defaultSize="0" autoFill="0" autoPict="0" altText="">
                <anchor moveWithCells="1" sizeWithCells="1">
                  <from>
                    <xdr:col>4</xdr:col>
                    <xdr:colOff>0</xdr:colOff>
                    <xdr:row>137</xdr:row>
                    <xdr:rowOff>0</xdr:rowOff>
                  </from>
                  <to>
                    <xdr:col>6</xdr:col>
                    <xdr:colOff>0</xdr:colOff>
                    <xdr:row>138</xdr:row>
                    <xdr:rowOff>0</xdr:rowOff>
                  </to>
                </anchor>
              </controlPr>
            </control>
          </mc:Choice>
        </mc:AlternateContent>
        <mc:AlternateContent xmlns:mc="http://schemas.openxmlformats.org/markup-compatibility/2006">
          <mc:Choice Requires="x14">
            <control shapeId="1982" r:id="rId45" name="Group Box 958">
              <controlPr defaultSize="0" autoFill="0" autoPict="0" altText="">
                <anchor moveWithCells="1" sizeWithCells="1">
                  <from>
                    <xdr:col>4</xdr:col>
                    <xdr:colOff>0</xdr:colOff>
                    <xdr:row>137</xdr:row>
                    <xdr:rowOff>0</xdr:rowOff>
                  </from>
                  <to>
                    <xdr:col>6</xdr:col>
                    <xdr:colOff>0</xdr:colOff>
                    <xdr:row>138</xdr:row>
                    <xdr:rowOff>0</xdr:rowOff>
                  </to>
                </anchor>
              </controlPr>
            </control>
          </mc:Choice>
        </mc:AlternateContent>
        <mc:AlternateContent xmlns:mc="http://schemas.openxmlformats.org/markup-compatibility/2006">
          <mc:Choice Requires="x14">
            <control shapeId="1985" r:id="rId46" name="Group Box 961">
              <controlPr defaultSize="0" autoFill="0" autoPict="0" altText="">
                <anchor moveWithCells="1" sizeWithCells="1">
                  <from>
                    <xdr:col>4</xdr:col>
                    <xdr:colOff>0</xdr:colOff>
                    <xdr:row>137</xdr:row>
                    <xdr:rowOff>0</xdr:rowOff>
                  </from>
                  <to>
                    <xdr:col>6</xdr:col>
                    <xdr:colOff>0</xdr:colOff>
                    <xdr:row>138</xdr:row>
                    <xdr:rowOff>0</xdr:rowOff>
                  </to>
                </anchor>
              </controlPr>
            </control>
          </mc:Choice>
        </mc:AlternateContent>
        <mc:AlternateContent xmlns:mc="http://schemas.openxmlformats.org/markup-compatibility/2006">
          <mc:Choice Requires="x14">
            <control shapeId="1986" r:id="rId47" name="Group Box 962">
              <controlPr defaultSize="0" autoFill="0" autoPict="0" altText="">
                <anchor moveWithCells="1" sizeWithCells="1">
                  <from>
                    <xdr:col>4</xdr:col>
                    <xdr:colOff>0</xdr:colOff>
                    <xdr:row>137</xdr:row>
                    <xdr:rowOff>0</xdr:rowOff>
                  </from>
                  <to>
                    <xdr:col>6</xdr:col>
                    <xdr:colOff>0</xdr:colOff>
                    <xdr:row>138</xdr:row>
                    <xdr:rowOff>0</xdr:rowOff>
                  </to>
                </anchor>
              </controlPr>
            </control>
          </mc:Choice>
        </mc:AlternateContent>
        <mc:AlternateContent xmlns:mc="http://schemas.openxmlformats.org/markup-compatibility/2006">
          <mc:Choice Requires="x14">
            <control shapeId="8366" r:id="rId48" name="Group Box 1198">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67" r:id="rId49" name="Group Box 1199">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68" r:id="rId50" name="Group Box 1200">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69" r:id="rId51" name="Group Box 1201">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70" r:id="rId52" name="Group Box 1202">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71" r:id="rId53" name="Group Box 1203">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72" r:id="rId54" name="Group Box 1204">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73" r:id="rId55" name="Group Box 1205">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74" r:id="rId56" name="Group Box 1206">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75" r:id="rId57" name="Group Box 1207">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76" r:id="rId58" name="Group Box 1208">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77" r:id="rId59" name="Group Box 1209">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78" r:id="rId60" name="Group Box 1210">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79" r:id="rId61" name="Group Box 1211">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80" r:id="rId62" name="Group Box 1212">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81" r:id="rId63" name="Group Box 1213">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82" r:id="rId64" name="Group Box 1214">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83" r:id="rId65" name="Group Box 1215">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84" r:id="rId66" name="Group Box 1216">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85" r:id="rId67" name="Group Box 1217">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86" r:id="rId68" name="Group Box 1218">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87" r:id="rId69" name="Group Box 1219">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88" r:id="rId70" name="Group Box 1220">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89" r:id="rId71" name="Group Box 1221">
              <controlPr defaultSize="0" autoFill="0" autoPict="0" altText="">
                <anchor moveWithCells="1" sizeWithCells="1">
                  <from>
                    <xdr:col>10</xdr:col>
                    <xdr:colOff>0</xdr:colOff>
                    <xdr:row>138</xdr:row>
                    <xdr:rowOff>0</xdr:rowOff>
                  </from>
                  <to>
                    <xdr:col>11</xdr:col>
                    <xdr:colOff>0</xdr:colOff>
                    <xdr:row>140</xdr:row>
                    <xdr:rowOff>0</xdr:rowOff>
                  </to>
                </anchor>
              </controlPr>
            </control>
          </mc:Choice>
        </mc:AlternateContent>
        <mc:AlternateContent xmlns:mc="http://schemas.openxmlformats.org/markup-compatibility/2006">
          <mc:Choice Requires="x14">
            <control shapeId="8398" r:id="rId72" name="Group Box 1230">
              <controlPr defaultSize="0" autoFill="0" autoPict="0" altText="">
                <anchor moveWithCells="1" sizeWithCells="1">
                  <from>
                    <xdr:col>4</xdr:col>
                    <xdr:colOff>0</xdr:colOff>
                    <xdr:row>154</xdr:row>
                    <xdr:rowOff>0</xdr:rowOff>
                  </from>
                  <to>
                    <xdr:col>6</xdr:col>
                    <xdr:colOff>0</xdr:colOff>
                    <xdr:row>156</xdr:row>
                    <xdr:rowOff>0</xdr:rowOff>
                  </to>
                </anchor>
              </controlPr>
            </control>
          </mc:Choice>
        </mc:AlternateContent>
        <mc:AlternateContent xmlns:mc="http://schemas.openxmlformats.org/markup-compatibility/2006">
          <mc:Choice Requires="x14">
            <control shapeId="8399" r:id="rId73" name="Group Box 1231">
              <controlPr defaultSize="0" autoFill="0" autoPict="0" altText="">
                <anchor moveWithCells="1" sizeWithCells="1">
                  <from>
                    <xdr:col>4</xdr:col>
                    <xdr:colOff>0</xdr:colOff>
                    <xdr:row>154</xdr:row>
                    <xdr:rowOff>0</xdr:rowOff>
                  </from>
                  <to>
                    <xdr:col>6</xdr:col>
                    <xdr:colOff>0</xdr:colOff>
                    <xdr:row>156</xdr:row>
                    <xdr:rowOff>0</xdr:rowOff>
                  </to>
                </anchor>
              </controlPr>
            </control>
          </mc:Choice>
        </mc:AlternateContent>
        <mc:AlternateContent xmlns:mc="http://schemas.openxmlformats.org/markup-compatibility/2006">
          <mc:Choice Requires="x14">
            <control shapeId="8400" r:id="rId74" name="Group Box 1232">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01" r:id="rId75" name="Group Box 1233">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02" r:id="rId76" name="Group Box 1234">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03" r:id="rId77" name="Group Box 1235">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05" r:id="rId78" name="Group Box 1237">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06" r:id="rId79" name="Group Box 1238">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07" r:id="rId80" name="Group Box 1239">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08" r:id="rId81" name="Group Box 1240">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09" r:id="rId82" name="Group Box 1241">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10" r:id="rId83" name="Group Box 1242">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11" r:id="rId84" name="Group Box 1243">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12" r:id="rId85" name="Group Box 1244">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13" r:id="rId86" name="Group Box 1245">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14" r:id="rId87" name="Group Box 1246">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15" r:id="rId88" name="Group Box 1247">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16" r:id="rId89" name="Group Box 1248">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17" r:id="rId90" name="Group Box 1249">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18" r:id="rId91" name="Group Box 1250">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19" r:id="rId92" name="Group Box 1251">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20" r:id="rId93" name="Group Box 1252">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21" r:id="rId94" name="Group Box 1253">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22" r:id="rId95" name="Group Box 1254">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23" r:id="rId96" name="Group Box 1255">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24" r:id="rId97" name="Group Box 1256">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25" r:id="rId98" name="Group Box 1257">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26" r:id="rId99" name="Group Box 1258">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27" r:id="rId100" name="Group Box 1259">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28" r:id="rId101" name="Group Box 1260">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497" r:id="rId102" name="Group Box 1329">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498" r:id="rId103" name="Group Box 1330">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499" r:id="rId104" name="Group Box 1331">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00" r:id="rId105" name="Group Box 1332">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01" r:id="rId106" name="Group Box 1333">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02" r:id="rId107" name="Group Box 1334">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03" r:id="rId108" name="Group Box 1335">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04" r:id="rId109" name="Group Box 1336">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05" r:id="rId110" name="Group Box 1337">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06" r:id="rId111" name="Group Box 1338">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07" r:id="rId112" name="Group Box 1339">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08" r:id="rId113" name="Group Box 1340">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09" r:id="rId114" name="Group Box 1341">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10" r:id="rId115" name="Group Box 1342">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11" r:id="rId116" name="Group Box 1343">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12" r:id="rId117" name="Group Box 1344">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13" r:id="rId118" name="Group Box 1345">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14" r:id="rId119" name="Group Box 1346">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15" r:id="rId120" name="Group Box 1347">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16" r:id="rId121" name="Group Box 1348">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17" r:id="rId122" name="Group Box 1349">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18" r:id="rId123" name="Group Box 1350">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19" r:id="rId124" name="Group Box 1351">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520" r:id="rId125" name="Group Box 1352">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00" r:id="rId126" name="Group Box 1432">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601" r:id="rId127" name="Group Box 1433">
              <controlPr defaultSize="0" autoFill="0" autoPict="0" altText="">
                <anchor moveWithCells="1" sizeWithCells="1">
                  <from>
                    <xdr:col>4</xdr:col>
                    <xdr:colOff>0</xdr:colOff>
                    <xdr:row>155</xdr:row>
                    <xdr:rowOff>0</xdr:rowOff>
                  </from>
                  <to>
                    <xdr:col>6</xdr:col>
                    <xdr:colOff>0</xdr:colOff>
                    <xdr:row>157</xdr:row>
                    <xdr:rowOff>0</xdr:rowOff>
                  </to>
                </anchor>
              </controlPr>
            </control>
          </mc:Choice>
        </mc:AlternateContent>
        <mc:AlternateContent xmlns:mc="http://schemas.openxmlformats.org/markup-compatibility/2006">
          <mc:Choice Requires="x14">
            <control shapeId="8632" r:id="rId128" name="Group Box 1464">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33" r:id="rId129" name="Group Box 1465">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34" r:id="rId130" name="Group Box 1466">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35" r:id="rId131" name="Group Box 1467">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36" r:id="rId132" name="Group Box 1468">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37" r:id="rId133" name="Group Box 1469">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38" r:id="rId134" name="Group Box 1470">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39" r:id="rId135" name="Group Box 1471">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40" r:id="rId136" name="Group Box 1472">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41" r:id="rId137" name="Group Box 1473">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42" r:id="rId138" name="Group Box 1474">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43" r:id="rId139" name="Group Box 1475">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44" r:id="rId140" name="Group Box 1476">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45" r:id="rId141" name="Group Box 1477">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46" r:id="rId142" name="Group Box 1478">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47" r:id="rId143" name="Group Box 1479">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48" r:id="rId144" name="Group Box 1480">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49" r:id="rId145" name="Group Box 1481">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50" r:id="rId146" name="Group Box 1482">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51" r:id="rId147" name="Group Box 1483">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52" r:id="rId148" name="Group Box 1484">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53" r:id="rId149" name="Group Box 1485">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54" r:id="rId150" name="Group Box 1486">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55" r:id="rId151" name="Group Box 1487">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56" r:id="rId152" name="Group Box 1488">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57" r:id="rId153" name="Group Box 1489">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58" r:id="rId154" name="Group Box 1490">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59" r:id="rId155" name="Group Box 1491">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60" r:id="rId156" name="Group Box 1492">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61" r:id="rId157" name="Group Box 1493">
              <controlPr defaultSize="0" autoFill="0" autoPict="0" altText="">
                <anchor moveWithCells="1" sizeWithCells="1">
                  <from>
                    <xdr:col>6</xdr:col>
                    <xdr:colOff>0</xdr:colOff>
                    <xdr:row>156</xdr:row>
                    <xdr:rowOff>0</xdr:rowOff>
                  </from>
                  <to>
                    <xdr:col>8</xdr:col>
                    <xdr:colOff>0</xdr:colOff>
                    <xdr:row>158</xdr:row>
                    <xdr:rowOff>0</xdr:rowOff>
                  </to>
                </anchor>
              </controlPr>
            </control>
          </mc:Choice>
        </mc:AlternateContent>
        <mc:AlternateContent xmlns:mc="http://schemas.openxmlformats.org/markup-compatibility/2006">
          <mc:Choice Requires="x14">
            <control shapeId="8662" r:id="rId158" name="Group Box 1494">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63" r:id="rId159" name="Group Box 1495">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64" r:id="rId160" name="Group Box 1496">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65" r:id="rId161" name="Group Box 1497">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66" r:id="rId162" name="Group Box 1498">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67" r:id="rId163" name="Group Box 1499">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68" r:id="rId164" name="Group Box 1500">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69" r:id="rId165" name="Group Box 1501">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70" r:id="rId166" name="Group Box 1502">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71" r:id="rId167" name="Group Box 1503">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72" r:id="rId168" name="Group Box 1504">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73" r:id="rId169" name="Group Box 1505">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74" r:id="rId170" name="Group Box 1506">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75" r:id="rId171" name="Group Box 1507">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76" r:id="rId172" name="Group Box 1508">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77" r:id="rId173" name="Group Box 1509">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78" r:id="rId174" name="Group Box 1510">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79" r:id="rId175" name="Group Box 1511">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80" r:id="rId176" name="Group Box 1512">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81" r:id="rId177" name="Group Box 1513">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82" r:id="rId178" name="Group Box 1514">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83" r:id="rId179" name="Group Box 1515">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84" r:id="rId180" name="Group Box 1516">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85" r:id="rId181" name="Group Box 1517">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86" r:id="rId182" name="Group Box 1518">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87" r:id="rId183" name="Group Box 1519">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88" r:id="rId184" name="Group Box 1520">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89" r:id="rId185" name="Group Box 1521">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90" r:id="rId186" name="Group Box 1522">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8691" r:id="rId187" name="Group Box 1523">
              <controlPr defaultSize="0" autoFill="0" autoPict="0" altText="">
                <anchor moveWithCells="1" sizeWithCells="1">
                  <from>
                    <xdr:col>4</xdr:col>
                    <xdr:colOff>0</xdr:colOff>
                    <xdr:row>157</xdr:row>
                    <xdr:rowOff>0</xdr:rowOff>
                  </from>
                  <to>
                    <xdr:col>6</xdr:col>
                    <xdr:colOff>0</xdr:colOff>
                    <xdr:row>158</xdr:row>
                    <xdr:rowOff>0</xdr:rowOff>
                  </to>
                </anchor>
              </controlPr>
            </control>
          </mc:Choice>
        </mc:AlternateContent>
        <mc:AlternateContent xmlns:mc="http://schemas.openxmlformats.org/markup-compatibility/2006">
          <mc:Choice Requires="x14">
            <control shapeId="9053" r:id="rId188" name="Group Box 1885">
              <controlPr defaultSize="0" autoFill="0" autoPict="0" altText="">
                <anchor moveWithCells="1" sizeWithCells="1">
                  <from>
                    <xdr:col>2</xdr:col>
                    <xdr:colOff>0</xdr:colOff>
                    <xdr:row>45</xdr:row>
                    <xdr:rowOff>0</xdr:rowOff>
                  </from>
                  <to>
                    <xdr:col>4</xdr:col>
                    <xdr:colOff>0</xdr:colOff>
                    <xdr:row>47</xdr:row>
                    <xdr:rowOff>0</xdr:rowOff>
                  </to>
                </anchor>
              </controlPr>
            </control>
          </mc:Choice>
        </mc:AlternateContent>
        <mc:AlternateContent xmlns:mc="http://schemas.openxmlformats.org/markup-compatibility/2006">
          <mc:Choice Requires="x14">
            <control shapeId="9054" r:id="rId189" name="Group Box 1886">
              <controlPr defaultSize="0" autoFill="0" autoPict="0" altText="">
                <anchor moveWithCells="1" sizeWithCells="1">
                  <from>
                    <xdr:col>2</xdr:col>
                    <xdr:colOff>0</xdr:colOff>
                    <xdr:row>45</xdr:row>
                    <xdr:rowOff>0</xdr:rowOff>
                  </from>
                  <to>
                    <xdr:col>4</xdr:col>
                    <xdr:colOff>0</xdr:colOff>
                    <xdr:row>47</xdr:row>
                    <xdr:rowOff>0</xdr:rowOff>
                  </to>
                </anchor>
              </controlPr>
            </control>
          </mc:Choice>
        </mc:AlternateContent>
        <mc:AlternateContent xmlns:mc="http://schemas.openxmlformats.org/markup-compatibility/2006">
          <mc:Choice Requires="x14">
            <control shapeId="9055" r:id="rId190" name="Group Box 1887">
              <controlPr defaultSize="0" autoFill="0" autoPict="0" altText="">
                <anchor moveWithCells="1" sizeWithCells="1">
                  <from>
                    <xdr:col>2</xdr:col>
                    <xdr:colOff>0</xdr:colOff>
                    <xdr:row>45</xdr:row>
                    <xdr:rowOff>0</xdr:rowOff>
                  </from>
                  <to>
                    <xdr:col>4</xdr:col>
                    <xdr:colOff>0</xdr:colOff>
                    <xdr:row>47</xdr:row>
                    <xdr:rowOff>0</xdr:rowOff>
                  </to>
                </anchor>
              </controlPr>
            </control>
          </mc:Choice>
        </mc:AlternateContent>
        <mc:AlternateContent xmlns:mc="http://schemas.openxmlformats.org/markup-compatibility/2006">
          <mc:Choice Requires="x14">
            <control shapeId="9056" r:id="rId191" name="Group Box 1888">
              <controlPr defaultSize="0" autoFill="0" autoPict="0" altText="">
                <anchor moveWithCells="1" sizeWithCells="1">
                  <from>
                    <xdr:col>2</xdr:col>
                    <xdr:colOff>0</xdr:colOff>
                    <xdr:row>45</xdr:row>
                    <xdr:rowOff>0</xdr:rowOff>
                  </from>
                  <to>
                    <xdr:col>4</xdr:col>
                    <xdr:colOff>0</xdr:colOff>
                    <xdr:row>47</xdr:row>
                    <xdr:rowOff>0</xdr:rowOff>
                  </to>
                </anchor>
              </controlPr>
            </control>
          </mc:Choice>
        </mc:AlternateContent>
        <mc:AlternateContent xmlns:mc="http://schemas.openxmlformats.org/markup-compatibility/2006">
          <mc:Choice Requires="x14">
            <control shapeId="9057" r:id="rId192" name="Group Box 1889">
              <controlPr defaultSize="0" autoFill="0" autoPict="0" altText="">
                <anchor moveWithCells="1" sizeWithCells="1">
                  <from>
                    <xdr:col>2</xdr:col>
                    <xdr:colOff>0</xdr:colOff>
                    <xdr:row>45</xdr:row>
                    <xdr:rowOff>0</xdr:rowOff>
                  </from>
                  <to>
                    <xdr:col>4</xdr:col>
                    <xdr:colOff>0</xdr:colOff>
                    <xdr:row>47</xdr:row>
                    <xdr:rowOff>0</xdr:rowOff>
                  </to>
                </anchor>
              </controlPr>
            </control>
          </mc:Choice>
        </mc:AlternateContent>
        <mc:AlternateContent xmlns:mc="http://schemas.openxmlformats.org/markup-compatibility/2006">
          <mc:Choice Requires="x14">
            <control shapeId="9058" r:id="rId193" name="Group Box 1890">
              <controlPr defaultSize="0" autoFill="0" autoPict="0" altText="">
                <anchor moveWithCells="1" sizeWithCells="1">
                  <from>
                    <xdr:col>2</xdr:col>
                    <xdr:colOff>0</xdr:colOff>
                    <xdr:row>45</xdr:row>
                    <xdr:rowOff>0</xdr:rowOff>
                  </from>
                  <to>
                    <xdr:col>4</xdr:col>
                    <xdr:colOff>0</xdr:colOff>
                    <xdr:row>47</xdr:row>
                    <xdr:rowOff>0</xdr:rowOff>
                  </to>
                </anchor>
              </controlPr>
            </control>
          </mc:Choice>
        </mc:AlternateContent>
        <mc:AlternateContent xmlns:mc="http://schemas.openxmlformats.org/markup-compatibility/2006">
          <mc:Choice Requires="x14">
            <control shapeId="9059" r:id="rId194" name="Group Box 1891">
              <controlPr defaultSize="0" autoFill="0" autoPict="0" altText="">
                <anchor moveWithCells="1" sizeWithCells="1">
                  <from>
                    <xdr:col>2</xdr:col>
                    <xdr:colOff>0</xdr:colOff>
                    <xdr:row>45</xdr:row>
                    <xdr:rowOff>0</xdr:rowOff>
                  </from>
                  <to>
                    <xdr:col>4</xdr:col>
                    <xdr:colOff>0</xdr:colOff>
                    <xdr:row>47</xdr:row>
                    <xdr:rowOff>0</xdr:rowOff>
                  </to>
                </anchor>
              </controlPr>
            </control>
          </mc:Choice>
        </mc:AlternateContent>
        <mc:AlternateContent xmlns:mc="http://schemas.openxmlformats.org/markup-compatibility/2006">
          <mc:Choice Requires="x14">
            <control shapeId="9060" r:id="rId195" name="Group Box 1892">
              <controlPr defaultSize="0" autoFill="0" autoPict="0" altText="">
                <anchor moveWithCells="1" sizeWithCells="1">
                  <from>
                    <xdr:col>2</xdr:col>
                    <xdr:colOff>0</xdr:colOff>
                    <xdr:row>45</xdr:row>
                    <xdr:rowOff>0</xdr:rowOff>
                  </from>
                  <to>
                    <xdr:col>4</xdr:col>
                    <xdr:colOff>0</xdr:colOff>
                    <xdr:row>47</xdr:row>
                    <xdr:rowOff>0</xdr:rowOff>
                  </to>
                </anchor>
              </controlPr>
            </control>
          </mc:Choice>
        </mc:AlternateContent>
        <mc:AlternateContent xmlns:mc="http://schemas.openxmlformats.org/markup-compatibility/2006">
          <mc:Choice Requires="x14">
            <control shapeId="9061" r:id="rId196" name="Group Box 1893">
              <controlPr defaultSize="0" autoFill="0" autoPict="0" altText="">
                <anchor moveWithCells="1" sizeWithCells="1">
                  <from>
                    <xdr:col>2</xdr:col>
                    <xdr:colOff>0</xdr:colOff>
                    <xdr:row>45</xdr:row>
                    <xdr:rowOff>0</xdr:rowOff>
                  </from>
                  <to>
                    <xdr:col>4</xdr:col>
                    <xdr:colOff>0</xdr:colOff>
                    <xdr:row>47</xdr:row>
                    <xdr:rowOff>0</xdr:rowOff>
                  </to>
                </anchor>
              </controlPr>
            </control>
          </mc:Choice>
        </mc:AlternateContent>
        <mc:AlternateContent xmlns:mc="http://schemas.openxmlformats.org/markup-compatibility/2006">
          <mc:Choice Requires="x14">
            <control shapeId="9062" r:id="rId197" name="Group Box 1894">
              <controlPr defaultSize="0" autoFill="0" autoPict="0" altText="">
                <anchor moveWithCells="1" sizeWithCells="1">
                  <from>
                    <xdr:col>2</xdr:col>
                    <xdr:colOff>0</xdr:colOff>
                    <xdr:row>45</xdr:row>
                    <xdr:rowOff>0</xdr:rowOff>
                  </from>
                  <to>
                    <xdr:col>4</xdr:col>
                    <xdr:colOff>0</xdr:colOff>
                    <xdr:row>47</xdr:row>
                    <xdr:rowOff>0</xdr:rowOff>
                  </to>
                </anchor>
              </controlPr>
            </control>
          </mc:Choice>
        </mc:AlternateContent>
        <mc:AlternateContent xmlns:mc="http://schemas.openxmlformats.org/markup-compatibility/2006">
          <mc:Choice Requires="x14">
            <control shapeId="9063" r:id="rId198" name="Group Box 1895">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64" r:id="rId199" name="Group Box 1896">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65" r:id="rId200" name="Group Box 1897">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66" r:id="rId201" name="Group Box 1898">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67" r:id="rId202" name="Group Box 1899">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68" r:id="rId203" name="Group Box 1900">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69" r:id="rId204" name="Group Box 1901">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70" r:id="rId205" name="Group Box 1902">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71" r:id="rId206" name="Group Box 1903">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72" r:id="rId207" name="Group Box 1904">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73" r:id="rId208" name="Group Box 1905">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74" r:id="rId209" name="Group Box 1906">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75" r:id="rId210" name="Group Box 1907">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76" r:id="rId211" name="Group Box 1908">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77" r:id="rId212" name="Group Box 1909">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78" r:id="rId213" name="Group Box 1910">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79" r:id="rId214" name="Group Box 1911">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80" r:id="rId215" name="Group Box 1912">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81" r:id="rId216" name="Group Box 1913">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82" r:id="rId217" name="Group Box 1914">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83" r:id="rId218" name="Group Box 1915">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84" r:id="rId219" name="Group Box 1916">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85" r:id="rId220" name="Group Box 1917">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9086" r:id="rId221" name="Group Box 1918">
              <controlPr defaultSize="0" autoFill="0" autoPict="0" altText="">
                <anchor moveWithCells="1" sizeWithCells="1">
                  <from>
                    <xdr:col>10</xdr:col>
                    <xdr:colOff>0</xdr:colOff>
                    <xdr:row>45</xdr:row>
                    <xdr:rowOff>0</xdr:rowOff>
                  </from>
                  <to>
                    <xdr:col>11</xdr:col>
                    <xdr:colOff>0</xdr:colOff>
                    <xdr:row>47</xdr:row>
                    <xdr:rowOff>0</xdr:rowOff>
                  </to>
                </anchor>
              </controlPr>
            </control>
          </mc:Choice>
        </mc:AlternateContent>
        <mc:AlternateContent xmlns:mc="http://schemas.openxmlformats.org/markup-compatibility/2006">
          <mc:Choice Requires="x14">
            <control shapeId="15428" r:id="rId222" name="Group Box 2116">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29" r:id="rId223" name="Group Box 2117">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30" r:id="rId224" name="Group Box 2118">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31" r:id="rId225" name="Group Box 2119">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32" r:id="rId226" name="Group Box 2120">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33" r:id="rId227" name="Group Box 2121">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34" r:id="rId228" name="Group Box 2122">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35" r:id="rId229" name="Group Box 2123">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36" r:id="rId230" name="Group Box 2124">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37" r:id="rId231" name="Group Box 2125">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38" r:id="rId232" name="Group Box 2126">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39" r:id="rId233" name="Group Box 2127">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40" r:id="rId234" name="Group Box 2128">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41" r:id="rId235" name="Group Box 2129">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42" r:id="rId236" name="Group Box 2130">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43" r:id="rId237" name="Group Box 2131">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44" r:id="rId238" name="Group Box 2132">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45" r:id="rId239" name="Group Box 2133">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46" r:id="rId240" name="Group Box 2134">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47" r:id="rId241" name="Group Box 2135">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48" r:id="rId242" name="Group Box 2136">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49" r:id="rId243" name="Group Box 2137">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50" r:id="rId244" name="Group Box 2138">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51" r:id="rId245" name="Group Box 2139">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52" r:id="rId246" name="Group Box 2140">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53" r:id="rId247" name="Group Box 2141">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54" r:id="rId248" name="Group Box 2142">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55" r:id="rId249" name="Group Box 2143">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56" r:id="rId250" name="Group Box 2144">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57" r:id="rId251" name="Group Box 2145">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5458" r:id="rId252" name="Group Box 2146">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59" r:id="rId253" name="Group Box 2147">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60" r:id="rId254" name="Group Box 2148">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61" r:id="rId255" name="Group Box 2149">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62" r:id="rId256" name="Group Box 2150">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63" r:id="rId257" name="Group Box 2151">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64" r:id="rId258" name="Group Box 2152">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65" r:id="rId259" name="Group Box 2153">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66" r:id="rId260" name="Group Box 2154">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67" r:id="rId261" name="Group Box 2155">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68" r:id="rId262" name="Group Box 2156">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69" r:id="rId263" name="Group Box 2157">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70" r:id="rId264" name="Group Box 2158">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71" r:id="rId265" name="Group Box 2159">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72" r:id="rId266" name="Group Box 2160">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73" r:id="rId267" name="Group Box 2161">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74" r:id="rId268" name="Group Box 2162">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75" r:id="rId269" name="Group Box 2163">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76" r:id="rId270" name="Group Box 2164">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77" r:id="rId271" name="Group Box 2165">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78" r:id="rId272" name="Group Box 2166">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79" r:id="rId273" name="Group Box 2167">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80" r:id="rId274" name="Group Box 2168">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81" r:id="rId275" name="Group Box 2169">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82" r:id="rId276" name="Group Box 2170">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83" r:id="rId277" name="Group Box 2171">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84" r:id="rId278" name="Group Box 2172">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85" r:id="rId279" name="Group Box 2173">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86" r:id="rId280" name="Group Box 2174">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87" r:id="rId281" name="Group Box 2175">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88" r:id="rId282" name="Group Box 2176">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89" r:id="rId283" name="Group Box 2177">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90" r:id="rId284" name="Group Box 2178">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91" r:id="rId285" name="Group Box 2179">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92" r:id="rId286" name="Group Box 2180">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93" r:id="rId287" name="Group Box 2181">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94" r:id="rId288" name="Group Box 2182">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95" r:id="rId289" name="Group Box 2183">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96" r:id="rId290" name="Group Box 2184">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97" r:id="rId291" name="Group Box 2185">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98" r:id="rId292" name="Group Box 2186">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499" r:id="rId293" name="Group Box 2187">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00" r:id="rId294" name="Group Box 2188">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01" r:id="rId295" name="Group Box 2189">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02" r:id="rId296" name="Group Box 2190">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03" r:id="rId297" name="Group Box 2191">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04" r:id="rId298" name="Group Box 2192">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05" r:id="rId299" name="Group Box 2193">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06" r:id="rId300" name="Group Box 2194">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07" r:id="rId301" name="Group Box 2195">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08" r:id="rId302" name="Group Box 2196">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09" r:id="rId303" name="Group Box 2197">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10" r:id="rId304" name="Group Box 2198">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11" r:id="rId305" name="Group Box 2199">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12" r:id="rId306" name="Group Box 2200">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13" r:id="rId307" name="Group Box 2201">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14" r:id="rId308" name="Group Box 2202">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15" r:id="rId309" name="Group Box 2203">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16" r:id="rId310" name="Group Box 2204">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17" r:id="rId311" name="Group Box 2205">
              <controlPr defaultSize="0" autoFill="0" autoPict="0" altText="">
                <anchor moveWithCells="1" sizeWithCells="1">
                  <from>
                    <xdr:col>4</xdr:col>
                    <xdr:colOff>0</xdr:colOff>
                    <xdr:row>143</xdr:row>
                    <xdr:rowOff>0</xdr:rowOff>
                  </from>
                  <to>
                    <xdr:col>6</xdr:col>
                    <xdr:colOff>0</xdr:colOff>
                    <xdr:row>145</xdr:row>
                    <xdr:rowOff>0</xdr:rowOff>
                  </to>
                </anchor>
              </controlPr>
            </control>
          </mc:Choice>
        </mc:AlternateContent>
        <mc:AlternateContent xmlns:mc="http://schemas.openxmlformats.org/markup-compatibility/2006">
          <mc:Choice Requires="x14">
            <control shapeId="15518" r:id="rId312" name="Group Box 2206">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19" r:id="rId313" name="Group Box 2207">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20" r:id="rId314" name="Group Box 2208">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21" r:id="rId315" name="Group Box 2209">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22" r:id="rId316" name="Group Box 2210">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23" r:id="rId317" name="Group Box 2211">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24" r:id="rId318" name="Group Box 2212">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25" r:id="rId319" name="Group Box 2213">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26" r:id="rId320" name="Group Box 2214">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27" r:id="rId321" name="Group Box 2215">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28" r:id="rId322" name="Group Box 2216">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29" r:id="rId323" name="Group Box 2217">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30" r:id="rId324" name="Group Box 2218">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31" r:id="rId325" name="Group Box 2219">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32" r:id="rId326" name="Group Box 2220">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33" r:id="rId327" name="Group Box 2221">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34" r:id="rId328" name="Group Box 2222">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35" r:id="rId329" name="Group Box 2223">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36" r:id="rId330" name="Group Box 2224">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37" r:id="rId331" name="Group Box 2225">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38" r:id="rId332" name="Group Box 2226">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39" r:id="rId333" name="Group Box 2227">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40" r:id="rId334" name="Group Box 2228">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41" r:id="rId335" name="Group Box 2229">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42" r:id="rId336" name="Group Box 2230">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43" r:id="rId337" name="Group Box 2231">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44" r:id="rId338" name="Group Box 2232">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45" r:id="rId339" name="Group Box 2233">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46" r:id="rId340" name="Group Box 2234">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5551" r:id="rId341" name="Group Box 2239">
              <controlPr defaultSize="0" autoFill="0" autoPict="0">
                <anchor moveWithCells="1" sizeWithCells="1">
                  <from>
                    <xdr:col>0</xdr:col>
                    <xdr:colOff>0</xdr:colOff>
                    <xdr:row>57</xdr:row>
                    <xdr:rowOff>0</xdr:rowOff>
                  </from>
                  <to>
                    <xdr:col>2</xdr:col>
                    <xdr:colOff>0</xdr:colOff>
                    <xdr:row>59</xdr:row>
                    <xdr:rowOff>0</xdr:rowOff>
                  </to>
                </anchor>
              </controlPr>
            </control>
          </mc:Choice>
        </mc:AlternateContent>
        <mc:AlternateContent xmlns:mc="http://schemas.openxmlformats.org/markup-compatibility/2006">
          <mc:Choice Requires="x14">
            <control shapeId="15552" r:id="rId342" name="Group Box 2240">
              <controlPr defaultSize="0" autoFill="0" autoPict="0">
                <anchor moveWithCells="1" sizeWithCells="1">
                  <from>
                    <xdr:col>0</xdr:col>
                    <xdr:colOff>0</xdr:colOff>
                    <xdr:row>55</xdr:row>
                    <xdr:rowOff>0</xdr:rowOff>
                  </from>
                  <to>
                    <xdr:col>2</xdr:col>
                    <xdr:colOff>0</xdr:colOff>
                    <xdr:row>57</xdr:row>
                    <xdr:rowOff>0</xdr:rowOff>
                  </to>
                </anchor>
              </controlPr>
            </control>
          </mc:Choice>
        </mc:AlternateContent>
        <mc:AlternateContent xmlns:mc="http://schemas.openxmlformats.org/markup-compatibility/2006">
          <mc:Choice Requires="x14">
            <control shapeId="15553" r:id="rId343" name="Group Box 2241">
              <controlPr defaultSize="0" autoFill="0" autoPict="0">
                <anchor moveWithCells="1" sizeWithCells="1">
                  <from>
                    <xdr:col>0</xdr:col>
                    <xdr:colOff>0</xdr:colOff>
                    <xdr:row>55</xdr:row>
                    <xdr:rowOff>0</xdr:rowOff>
                  </from>
                  <to>
                    <xdr:col>2</xdr:col>
                    <xdr:colOff>0</xdr:colOff>
                    <xdr:row>57</xdr:row>
                    <xdr:rowOff>0</xdr:rowOff>
                  </to>
                </anchor>
              </controlPr>
            </control>
          </mc:Choice>
        </mc:AlternateContent>
        <mc:AlternateContent xmlns:mc="http://schemas.openxmlformats.org/markup-compatibility/2006">
          <mc:Choice Requires="x14">
            <control shapeId="15556" r:id="rId344" name="Group Box 2244">
              <controlPr defaultSize="0" autoFill="0" autoPict="0" altText="">
                <anchor moveWithCells="1" sizeWithCells="1">
                  <from>
                    <xdr:col>4</xdr:col>
                    <xdr:colOff>0</xdr:colOff>
                    <xdr:row>133</xdr:row>
                    <xdr:rowOff>0</xdr:rowOff>
                  </from>
                  <to>
                    <xdr:col>6</xdr:col>
                    <xdr:colOff>0</xdr:colOff>
                    <xdr:row>134</xdr:row>
                    <xdr:rowOff>0</xdr:rowOff>
                  </to>
                </anchor>
              </controlPr>
            </control>
          </mc:Choice>
        </mc:AlternateContent>
        <mc:AlternateContent xmlns:mc="http://schemas.openxmlformats.org/markup-compatibility/2006">
          <mc:Choice Requires="x14">
            <control shapeId="15557" r:id="rId345" name="Group Box 2245">
              <controlPr defaultSize="0" autoFill="0" autoPict="0" altText="">
                <anchor moveWithCells="1" sizeWithCells="1">
                  <from>
                    <xdr:col>4</xdr:col>
                    <xdr:colOff>0</xdr:colOff>
                    <xdr:row>135</xdr:row>
                    <xdr:rowOff>0</xdr:rowOff>
                  </from>
                  <to>
                    <xdr:col>6</xdr:col>
                    <xdr:colOff>0</xdr:colOff>
                    <xdr:row>136</xdr:row>
                    <xdr:rowOff>0</xdr:rowOff>
                  </to>
                </anchor>
              </controlPr>
            </control>
          </mc:Choice>
        </mc:AlternateContent>
        <mc:AlternateContent xmlns:mc="http://schemas.openxmlformats.org/markup-compatibility/2006">
          <mc:Choice Requires="x14">
            <control shapeId="15558" r:id="rId346" name="Group Box 2246">
              <controlPr defaultSize="0" autoFill="0" autoPict="0" altText="">
                <anchor moveWithCells="1" sizeWithCells="1">
                  <from>
                    <xdr:col>4</xdr:col>
                    <xdr:colOff>0</xdr:colOff>
                    <xdr:row>135</xdr:row>
                    <xdr:rowOff>0</xdr:rowOff>
                  </from>
                  <to>
                    <xdr:col>6</xdr:col>
                    <xdr:colOff>0</xdr:colOff>
                    <xdr:row>136</xdr:row>
                    <xdr:rowOff>0</xdr:rowOff>
                  </to>
                </anchor>
              </controlPr>
            </control>
          </mc:Choice>
        </mc:AlternateContent>
        <mc:AlternateContent xmlns:mc="http://schemas.openxmlformats.org/markup-compatibility/2006">
          <mc:Choice Requires="x14">
            <control shapeId="15559" r:id="rId347" name="Group Box 2247">
              <controlPr defaultSize="0" autoFill="0" autoPict="0" altText="">
                <anchor moveWithCells="1" sizeWithCells="1">
                  <from>
                    <xdr:col>4</xdr:col>
                    <xdr:colOff>0</xdr:colOff>
                    <xdr:row>131</xdr:row>
                    <xdr:rowOff>0</xdr:rowOff>
                  </from>
                  <to>
                    <xdr:col>6</xdr:col>
                    <xdr:colOff>0</xdr:colOff>
                    <xdr:row>133</xdr:row>
                    <xdr:rowOff>0</xdr:rowOff>
                  </to>
                </anchor>
              </controlPr>
            </control>
          </mc:Choice>
        </mc:AlternateContent>
        <mc:AlternateContent xmlns:mc="http://schemas.openxmlformats.org/markup-compatibility/2006">
          <mc:Choice Requires="x14">
            <control shapeId="15561" r:id="rId348" name="Group Box 2249">
              <controlPr defaultSize="0" autoFill="0" autoPict="0" altText="">
                <anchor moveWithCells="1" sizeWithCells="1">
                  <from>
                    <xdr:col>4</xdr:col>
                    <xdr:colOff>0</xdr:colOff>
                    <xdr:row>133</xdr:row>
                    <xdr:rowOff>0</xdr:rowOff>
                  </from>
                  <to>
                    <xdr:col>6</xdr:col>
                    <xdr:colOff>0</xdr:colOff>
                    <xdr:row>136</xdr:row>
                    <xdr:rowOff>0</xdr:rowOff>
                  </to>
                </anchor>
              </controlPr>
            </control>
          </mc:Choice>
        </mc:AlternateContent>
        <mc:AlternateContent xmlns:mc="http://schemas.openxmlformats.org/markup-compatibility/2006">
          <mc:Choice Requires="x14">
            <control shapeId="15562" r:id="rId349" name="Group Box 2250">
              <controlPr defaultSize="0" autoFill="0" autoPict="0" altText="">
                <anchor moveWithCells="1" sizeWithCells="1">
                  <from>
                    <xdr:col>4</xdr:col>
                    <xdr:colOff>0</xdr:colOff>
                    <xdr:row>133</xdr:row>
                    <xdr:rowOff>0</xdr:rowOff>
                  </from>
                  <to>
                    <xdr:col>6</xdr:col>
                    <xdr:colOff>0</xdr:colOff>
                    <xdr:row>136</xdr:row>
                    <xdr:rowOff>0</xdr:rowOff>
                  </to>
                </anchor>
              </controlPr>
            </control>
          </mc:Choice>
        </mc:AlternateContent>
        <mc:AlternateContent xmlns:mc="http://schemas.openxmlformats.org/markup-compatibility/2006">
          <mc:Choice Requires="x14">
            <control shapeId="15563" r:id="rId350" name="Group Box 2251">
              <controlPr defaultSize="0" autoFill="0" autoPict="0" altText="">
                <anchor moveWithCells="1" sizeWithCells="1">
                  <from>
                    <xdr:col>4</xdr:col>
                    <xdr:colOff>0</xdr:colOff>
                    <xdr:row>133</xdr:row>
                    <xdr:rowOff>0</xdr:rowOff>
                  </from>
                  <to>
                    <xdr:col>6</xdr:col>
                    <xdr:colOff>0</xdr:colOff>
                    <xdr:row>135</xdr:row>
                    <xdr:rowOff>0</xdr:rowOff>
                  </to>
                </anchor>
              </controlPr>
            </control>
          </mc:Choice>
        </mc:AlternateContent>
        <mc:AlternateContent xmlns:mc="http://schemas.openxmlformats.org/markup-compatibility/2006">
          <mc:Choice Requires="x14">
            <control shapeId="15565" r:id="rId351" name="Group Box 2253">
              <controlPr defaultSize="0" autoFill="0" autoPict="0" altText="">
                <anchor moveWithCells="1" sizeWithCells="1">
                  <from>
                    <xdr:col>4</xdr:col>
                    <xdr:colOff>0</xdr:colOff>
                    <xdr:row>116</xdr:row>
                    <xdr:rowOff>0</xdr:rowOff>
                  </from>
                  <to>
                    <xdr:col>6</xdr:col>
                    <xdr:colOff>0</xdr:colOff>
                    <xdr:row>117</xdr:row>
                    <xdr:rowOff>0</xdr:rowOff>
                  </to>
                </anchor>
              </controlPr>
            </control>
          </mc:Choice>
        </mc:AlternateContent>
        <mc:AlternateContent xmlns:mc="http://schemas.openxmlformats.org/markup-compatibility/2006">
          <mc:Choice Requires="x14">
            <control shapeId="15573" r:id="rId352" name="Group Box 2261">
              <controlPr defaultSize="0" autoFill="0" autoPict="0">
                <anchor moveWithCells="1" sizeWithCells="1">
                  <from>
                    <xdr:col>0</xdr:col>
                    <xdr:colOff>0</xdr:colOff>
                    <xdr:row>53</xdr:row>
                    <xdr:rowOff>0</xdr:rowOff>
                  </from>
                  <to>
                    <xdr:col>2</xdr:col>
                    <xdr:colOff>0</xdr:colOff>
                    <xdr:row>55</xdr:row>
                    <xdr:rowOff>0</xdr:rowOff>
                  </to>
                </anchor>
              </controlPr>
            </control>
          </mc:Choice>
        </mc:AlternateContent>
        <mc:AlternateContent xmlns:mc="http://schemas.openxmlformats.org/markup-compatibility/2006">
          <mc:Choice Requires="x14">
            <control shapeId="15574" r:id="rId353" name="Group Box 2262">
              <controlPr defaultSize="0" autoFill="0" autoPict="0">
                <anchor moveWithCells="1" sizeWithCells="1">
                  <from>
                    <xdr:col>0</xdr:col>
                    <xdr:colOff>0</xdr:colOff>
                    <xdr:row>53</xdr:row>
                    <xdr:rowOff>0</xdr:rowOff>
                  </from>
                  <to>
                    <xdr:col>2</xdr:col>
                    <xdr:colOff>0</xdr:colOff>
                    <xdr:row>55</xdr:row>
                    <xdr:rowOff>0</xdr:rowOff>
                  </to>
                </anchor>
              </controlPr>
            </control>
          </mc:Choice>
        </mc:AlternateContent>
        <mc:AlternateContent xmlns:mc="http://schemas.openxmlformats.org/markup-compatibility/2006">
          <mc:Choice Requires="x14">
            <control shapeId="15575" r:id="rId354" name="Group Box 2263">
              <controlPr defaultSize="0" autoFill="0" autoPict="0">
                <anchor moveWithCells="1" sizeWithCells="1">
                  <from>
                    <xdr:col>0</xdr:col>
                    <xdr:colOff>0</xdr:colOff>
                    <xdr:row>53</xdr:row>
                    <xdr:rowOff>0</xdr:rowOff>
                  </from>
                  <to>
                    <xdr:col>2</xdr:col>
                    <xdr:colOff>0</xdr:colOff>
                    <xdr:row>55</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 operator="equal" id="{D2F2CF40-EDBA-4545-995F-C87AF9EA7808}">
            <xm:f>Auswahlfelder!$E$61</xm:f>
            <x14:dxf>
              <fill>
                <patternFill>
                  <bgColor theme="9"/>
                </patternFill>
              </fill>
            </x14:dxf>
          </x14:cfRule>
          <x14:cfRule type="cellIs" priority="2" operator="equal" id="{F739ACC6-57C1-4106-AE6B-7CA4B0AB6E9D}">
            <xm:f>Auswahlfelder!$E$60</xm:f>
            <x14:dxf>
              <fill>
                <patternFill>
                  <bgColor theme="9"/>
                </patternFill>
              </fill>
            </x14:dxf>
          </x14:cfRule>
          <xm:sqref>D64:E65</xm:sqref>
        </x14:conditionalFormatting>
      </x14:conditionalFormattings>
    </ext>
    <ext xmlns:x14="http://schemas.microsoft.com/office/spreadsheetml/2009/9/main" uri="{CCE6A557-97BC-4b89-ADB6-D9C93CAAB3DF}">
      <x14:dataValidations xmlns:xm="http://schemas.microsoft.com/office/excel/2006/main" xWindow="261" yWindow="401" count="10">
        <x14:dataValidation type="list" allowBlank="1" showInputMessage="1" showErrorMessage="1" xr:uid="{00000000-0002-0000-0000-000031000000}">
          <x14:formula1>
            <xm:f>Auswahlfelder!$U$2:$U$9</xm:f>
          </x14:formula1>
          <xm:sqref>D76:J77</xm:sqref>
        </x14:dataValidation>
        <x14:dataValidation type="list" showInputMessage="1" promptTitle="Klasse" xr:uid="{00000000-0002-0000-0000-000032000000}">
          <x14:formula1>
            <xm:f>Auswahlfelder!$S$2:$S$22</xm:f>
          </x14:formula1>
          <xm:sqref>D74:J75</xm:sqref>
        </x14:dataValidation>
        <x14:dataValidation type="list" allowBlank="1" showInputMessage="1" showErrorMessage="1" promptTitle="erweiterter Meßbereich" xr:uid="{00000000-0002-0000-0000-000033000000}">
          <x14:formula1>
            <xm:f>Auswahlfelder!$V$2:$V$8</xm:f>
          </x14:formula1>
          <xm:sqref>D82:J83</xm:sqref>
        </x14:dataValidation>
        <x14:dataValidation type="list" allowBlank="1" showInputMessage="1" showErrorMessage="1" promptTitle="Wicklung Kalibiriert" prompt="Bitte Eingabe ob Wicklung kalibirerit werden soll_x000a_" xr:uid="{00000000-0002-0000-0000-000034000000}">
          <x14:formula1>
            <xm:f>Auswahlfelder!$B$40:$B$41</xm:f>
          </x14:formula1>
          <xm:sqref>E62:E63 F62:H65 D62:D63</xm:sqref>
        </x14:dataValidation>
        <x14:dataValidation type="list" allowBlank="1" showInputMessage="1" showErrorMessage="1" promptTitle="Kern Kalibiriert" prompt="Bitte Eingabe ob Kern kalibiriert werden soll_x000a_" xr:uid="{00000000-0002-0000-0000-000035000000}">
          <x14:formula1>
            <xm:f>Auswahlfelder!$B$40:$B$41</xm:f>
          </x14:formula1>
          <xm:sqref>D103:J104</xm:sqref>
        </x14:dataValidation>
        <x14:dataValidation type="list" errorStyle="warning" allowBlank="1" showInputMessage="1" showErrorMessage="1" promptTitle="Leckrate" prompt="Bitte Leckrate des Wandlers mit eingeben! _x000a_Achtung! Wert zählt als Basis für die Routineprüfung des Wandlers." xr:uid="{00000000-0002-0000-0000-000036000000}">
          <x14:formula1>
            <xm:f>Auswahlfelder!$L$15:$L$16</xm:f>
          </x14:formula1>
          <xm:sqref>E125:F125</xm:sqref>
        </x14:dataValidation>
        <x14:dataValidation type="list" allowBlank="1" showInputMessage="1" showErrorMessage="1" xr:uid="{4F1A4652-8922-4390-9AD0-DB61EA60AD66}">
          <x14:formula1>
            <xm:f>Revisionen!$A$1:$A$7</xm:f>
          </x14:formula1>
          <xm:sqref>D61:I61</xm:sqref>
        </x14:dataValidation>
        <x14:dataValidation type="list" allowBlank="1" showInputMessage="1" showErrorMessage="1" xr:uid="{78A8578F-72E4-417E-BCD3-6755BF1D41A5}">
          <x14:formula1>
            <xm:f>'bedingte Auswahlfelder'!$AO$3:$AO$13</xm:f>
          </x14:formula1>
          <xm:sqref>D28:F28</xm:sqref>
        </x14:dataValidation>
        <x14:dataValidation type="list" showInputMessage="1" showErrorMessage="1" errorTitle="Änderung nicht möglich !" xr:uid="{D72E3FED-1162-4638-B79E-F1E97BB42BCB}">
          <x14:formula1>
            <xm:f>Auswahlfelder!$G$41:$G$47</xm:f>
          </x14:formula1>
          <xm:sqref>E127:F128</xm:sqref>
        </x14:dataValidation>
        <x14:dataValidation type="list" allowBlank="1" showInputMessage="1" showErrorMessage="1" xr:uid="{79468011-2110-4485-99F2-9EA140E3CCB8}">
          <x14:formula1>
            <xm:f>Auswahlfelder!$E$59:$E$61</xm:f>
          </x14:formula1>
          <xm:sqref>D64:E65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737D48-F35F-4759-A85A-938511D82763}">
  <sheetPr>
    <pageSetUpPr fitToPage="1"/>
  </sheetPr>
  <dimension ref="A4:H183"/>
  <sheetViews>
    <sheetView view="pageBreakPreview" topLeftCell="A91" zoomScaleNormal="100" zoomScaleSheetLayoutView="100" workbookViewId="0">
      <selection activeCell="G5" sqref="G5:H5"/>
    </sheetView>
  </sheetViews>
  <sheetFormatPr baseColWidth="10" defaultColWidth="11" defaultRowHeight="14.25" x14ac:dyDescent="0.2"/>
  <cols>
    <col min="1" max="1" width="9.375" customWidth="1"/>
    <col min="2" max="2" width="10.375" customWidth="1"/>
    <col min="3" max="3" width="8.5" customWidth="1"/>
    <col min="4" max="4" width="10.375" style="9" customWidth="1"/>
    <col min="5" max="5" width="10.25" customWidth="1"/>
    <col min="6" max="6" width="11.375" customWidth="1"/>
    <col min="8" max="8" width="8.125" customWidth="1"/>
    <col min="9" max="9" width="10.25" customWidth="1"/>
    <col min="10" max="10" width="8.75" customWidth="1"/>
    <col min="11" max="12" width="9" customWidth="1"/>
  </cols>
  <sheetData>
    <row r="4" spans="1:8" ht="15" x14ac:dyDescent="0.25">
      <c r="A4" s="386" t="s">
        <v>1717</v>
      </c>
      <c r="C4" s="386" t="str">
        <f>'DB GIF'!J4</f>
        <v>2022-0879</v>
      </c>
    </row>
    <row r="5" spans="1:8" ht="15" x14ac:dyDescent="0.25">
      <c r="A5" s="840" t="s">
        <v>1718</v>
      </c>
      <c r="B5" s="841"/>
      <c r="C5" s="386" t="str">
        <f>'DB GIF'!C6</f>
        <v xml:space="preserve">HVDC LINK Terna </v>
      </c>
      <c r="F5" s="316"/>
      <c r="G5" s="316"/>
    </row>
    <row r="6" spans="1:8" x14ac:dyDescent="0.2">
      <c r="A6" s="387" t="s">
        <v>1275</v>
      </c>
      <c r="B6" s="316"/>
      <c r="C6" s="316" t="s">
        <v>1719</v>
      </c>
      <c r="D6" s="388"/>
      <c r="E6" s="387">
        <f>'DB GIF'!D53/1000</f>
        <v>0</v>
      </c>
      <c r="F6" s="316" t="s">
        <v>1183</v>
      </c>
      <c r="G6" s="316"/>
    </row>
    <row r="7" spans="1:8" x14ac:dyDescent="0.2">
      <c r="A7" s="316" t="s">
        <v>1185</v>
      </c>
      <c r="B7" s="316"/>
      <c r="C7" s="316">
        <f>'DB GIF'!C4</f>
        <v>0</v>
      </c>
      <c r="D7" s="388"/>
      <c r="F7" s="389"/>
      <c r="G7" s="389"/>
    </row>
    <row r="8" spans="1:8" x14ac:dyDescent="0.2">
      <c r="A8" s="390"/>
      <c r="B8" s="78"/>
      <c r="C8" s="78"/>
      <c r="D8" s="141"/>
      <c r="E8" s="78"/>
      <c r="F8" s="78"/>
      <c r="G8" s="78"/>
    </row>
    <row r="9" spans="1:8" x14ac:dyDescent="0.2">
      <c r="A9" s="387" t="s">
        <v>1191</v>
      </c>
      <c r="B9" s="78"/>
      <c r="C9" s="78"/>
      <c r="D9" s="141"/>
      <c r="E9" s="78"/>
      <c r="F9" s="78" t="str">
        <f>'DB GIF'!I5</f>
        <v>SAS 420 TERNA Type B</v>
      </c>
      <c r="G9" s="78"/>
    </row>
    <row r="10" spans="1:8" x14ac:dyDescent="0.2">
      <c r="A10" s="316" t="s">
        <v>1194</v>
      </c>
      <c r="B10" s="78"/>
      <c r="C10" s="78"/>
      <c r="D10" s="141"/>
      <c r="E10" s="78"/>
      <c r="F10" s="78" t="str">
        <f>'DB GIF'!G22</f>
        <v>IEC 61869-2</v>
      </c>
      <c r="G10" s="78"/>
    </row>
    <row r="11" spans="1:8" x14ac:dyDescent="0.2">
      <c r="A11" t="s">
        <v>1720</v>
      </c>
      <c r="D11"/>
      <c r="F11">
        <f>'DB GIF'!C22</f>
        <v>0</v>
      </c>
    </row>
    <row r="12" spans="1:8" x14ac:dyDescent="0.2">
      <c r="D12"/>
    </row>
    <row r="13" spans="1:8" x14ac:dyDescent="0.2">
      <c r="A13" s="78"/>
      <c r="B13" s="78"/>
      <c r="C13" s="78"/>
      <c r="D13" s="141"/>
      <c r="E13" s="78"/>
      <c r="F13" s="78"/>
      <c r="G13" s="78"/>
    </row>
    <row r="14" spans="1:8" x14ac:dyDescent="0.2">
      <c r="A14" s="78"/>
      <c r="B14" s="78"/>
      <c r="C14" s="78"/>
      <c r="D14" s="141"/>
      <c r="E14" s="78"/>
      <c r="F14" s="78"/>
      <c r="G14" s="78"/>
    </row>
    <row r="15" spans="1:8" x14ac:dyDescent="0.2">
      <c r="A15" s="316" t="s">
        <v>1197</v>
      </c>
      <c r="B15" s="78"/>
      <c r="C15" s="78"/>
      <c r="D15" s="141"/>
      <c r="E15" s="78"/>
      <c r="F15" s="316" t="str">
        <f>IF(OR('DB GIF'!E119="100% SF6",'DB GIF'!E119="Clean Air"),'DB GIF'!E119,"Mixture")</f>
        <v>100% SF6</v>
      </c>
      <c r="G15" s="410"/>
      <c r="H15" s="2"/>
    </row>
    <row r="16" spans="1:8" x14ac:dyDescent="0.2">
      <c r="A16" s="316" t="s">
        <v>1202</v>
      </c>
      <c r="B16" s="78"/>
      <c r="C16" s="78"/>
      <c r="D16" s="141"/>
      <c r="E16" s="78"/>
      <c r="F16" s="392" t="str">
        <f>'DB GIF'!E124</f>
        <v>0,1% / p.a.</v>
      </c>
      <c r="G16" s="78"/>
    </row>
    <row r="17" spans="1:8" x14ac:dyDescent="0.2">
      <c r="A17" s="319" t="s">
        <v>1721</v>
      </c>
      <c r="B17" s="308"/>
      <c r="C17" s="308"/>
      <c r="D17" s="310"/>
      <c r="E17" s="308"/>
      <c r="F17" s="319" t="str">
        <f>'DB GIF'!D28</f>
        <v>Spez. Kundenforderung =&gt; Kommentarfeld</v>
      </c>
      <c r="G17" s="308"/>
      <c r="H17" s="311"/>
    </row>
    <row r="18" spans="1:8" x14ac:dyDescent="0.2">
      <c r="A18" s="316"/>
      <c r="B18" s="78"/>
      <c r="C18" s="78"/>
      <c r="D18" s="141"/>
      <c r="E18" s="78"/>
      <c r="F18" s="78"/>
      <c r="G18" s="78"/>
    </row>
    <row r="19" spans="1:8" x14ac:dyDescent="0.2">
      <c r="A19" s="822" t="s">
        <v>1206</v>
      </c>
      <c r="B19" s="822"/>
      <c r="C19" s="822"/>
      <c r="D19" s="822"/>
      <c r="E19" s="822"/>
      <c r="F19" s="822"/>
      <c r="G19" s="822"/>
    </row>
    <row r="20" spans="1:8" x14ac:dyDescent="0.2">
      <c r="A20" s="311"/>
      <c r="B20" s="308"/>
      <c r="C20" s="308"/>
      <c r="D20" s="310"/>
      <c r="E20" s="308"/>
      <c r="F20" s="308"/>
      <c r="G20" s="308"/>
      <c r="H20" s="311"/>
    </row>
    <row r="21" spans="1:8" x14ac:dyDescent="0.2">
      <c r="A21" s="316" t="s">
        <v>1210</v>
      </c>
      <c r="B21" s="78"/>
      <c r="C21" s="78"/>
      <c r="D21" s="141"/>
      <c r="E21" s="141" t="s">
        <v>1211</v>
      </c>
      <c r="F21" s="141">
        <f>'DB GIF'!J23</f>
        <v>1000</v>
      </c>
      <c r="G21" s="78"/>
    </row>
    <row r="22" spans="1:8" x14ac:dyDescent="0.2">
      <c r="A22" s="316" t="s">
        <v>1212</v>
      </c>
      <c r="B22" s="78"/>
      <c r="C22" s="78"/>
      <c r="D22" s="141"/>
      <c r="E22" s="141" t="s">
        <v>1213</v>
      </c>
      <c r="F22" s="141" t="str">
        <f>'DB GIF'!C26</f>
        <v>- 25° Celsius</v>
      </c>
      <c r="G22" s="78"/>
    </row>
    <row r="23" spans="1:8" x14ac:dyDescent="0.2">
      <c r="A23" s="316" t="s">
        <v>1215</v>
      </c>
      <c r="B23" s="78"/>
      <c r="C23" s="78"/>
      <c r="D23" s="141"/>
      <c r="E23" s="141" t="s">
        <v>1213</v>
      </c>
      <c r="F23" s="141" t="str">
        <f>'DB GIF'!G26</f>
        <v>50° Celsius</v>
      </c>
      <c r="G23" s="78"/>
    </row>
    <row r="24" spans="1:8" x14ac:dyDescent="0.2">
      <c r="A24" s="316" t="s">
        <v>1768</v>
      </c>
      <c r="B24" s="78"/>
      <c r="C24" s="78"/>
      <c r="D24" s="141"/>
      <c r="E24" s="141"/>
      <c r="F24" s="141"/>
      <c r="G24" s="78"/>
    </row>
    <row r="25" spans="1:8" s="391" customFormat="1" x14ac:dyDescent="0.2">
      <c r="A25" s="823" t="str">
        <f>IF('DB GIF'!C29="","",'DB GIF'!C29)</f>
        <v>isolator must be from Shemar in material HTV with ATH &gt;45%.
in the ZMB write: 13,3kN Long., 8,4kN trasv., 6 kN vert..write a note next to these values --&gt;  IT: I valori indicati sono da considerarsi provvisori e potranno essere rivisti in base agli esiti delle prove di tipo EN: The provided values are provisional and may be revised based on the outcomes of the type tests.
SIL auf das Leistungsschild</v>
      </c>
      <c r="B25" s="824"/>
      <c r="C25" s="824"/>
      <c r="D25" s="824"/>
      <c r="E25" s="824"/>
      <c r="F25" s="824"/>
      <c r="G25" s="824"/>
      <c r="H25" s="824"/>
    </row>
    <row r="26" spans="1:8" x14ac:dyDescent="0.2">
      <c r="A26" s="304"/>
      <c r="B26" s="304"/>
      <c r="C26" s="304"/>
      <c r="D26" s="307"/>
      <c r="E26" s="304"/>
      <c r="F26" s="304"/>
      <c r="G26" s="304"/>
    </row>
    <row r="27" spans="1:8" x14ac:dyDescent="0.2">
      <c r="A27" s="822" t="s">
        <v>1222</v>
      </c>
      <c r="B27" s="822"/>
      <c r="C27" s="822"/>
      <c r="D27" s="822"/>
      <c r="E27" s="822"/>
      <c r="F27" s="822"/>
      <c r="G27" s="822"/>
    </row>
    <row r="28" spans="1:8" x14ac:dyDescent="0.2">
      <c r="A28" s="78"/>
      <c r="B28" s="78"/>
      <c r="C28" s="78"/>
      <c r="D28" s="141"/>
      <c r="E28" s="78"/>
      <c r="F28" s="78"/>
      <c r="G28" s="78"/>
      <c r="H28" s="311"/>
    </row>
    <row r="29" spans="1:8" x14ac:dyDescent="0.2">
      <c r="A29" s="318" t="s">
        <v>1226</v>
      </c>
      <c r="B29" s="318"/>
      <c r="C29" s="318"/>
      <c r="D29" s="318"/>
      <c r="E29" s="307" t="s">
        <v>1227</v>
      </c>
      <c r="F29" s="307">
        <f>'DB GIF'!D23</f>
        <v>420</v>
      </c>
      <c r="G29" s="304"/>
    </row>
    <row r="30" spans="1:8" x14ac:dyDescent="0.2">
      <c r="A30" s="316" t="s">
        <v>1229</v>
      </c>
      <c r="B30" s="316"/>
      <c r="C30" s="316"/>
      <c r="D30" s="316"/>
      <c r="E30" s="141" t="s">
        <v>1230</v>
      </c>
      <c r="F30" s="141">
        <f>'DB GIF'!G23</f>
        <v>50</v>
      </c>
      <c r="G30" s="78"/>
    </row>
    <row r="31" spans="1:8" x14ac:dyDescent="0.2">
      <c r="A31" s="316" t="s">
        <v>1233</v>
      </c>
      <c r="B31" s="316"/>
      <c r="C31" s="316"/>
      <c r="D31" s="316"/>
      <c r="E31" s="141" t="s">
        <v>1227</v>
      </c>
      <c r="F31" s="141">
        <f>'DB GIF'!G24</f>
        <v>680</v>
      </c>
      <c r="G31" s="78"/>
    </row>
    <row r="32" spans="1:8" x14ac:dyDescent="0.2">
      <c r="A32" s="316" t="s">
        <v>1235</v>
      </c>
      <c r="B32" s="316"/>
      <c r="C32" s="316"/>
      <c r="D32" s="316"/>
      <c r="E32" s="141" t="s">
        <v>1227</v>
      </c>
      <c r="F32" s="141">
        <f>'DB GIF'!G25</f>
        <v>3</v>
      </c>
      <c r="G32" s="78"/>
    </row>
    <row r="33" spans="1:8" x14ac:dyDescent="0.2">
      <c r="A33" s="316" t="s">
        <v>1237</v>
      </c>
      <c r="B33" s="316"/>
      <c r="C33" s="316"/>
      <c r="D33" s="316"/>
      <c r="E33" s="141" t="s">
        <v>1227</v>
      </c>
      <c r="F33" s="141" t="str">
        <f>'DB GIF'!J25</f>
        <v>-</v>
      </c>
      <c r="G33" s="141" t="s">
        <v>1137</v>
      </c>
    </row>
    <row r="34" spans="1:8" x14ac:dyDescent="0.2">
      <c r="A34" s="316" t="s">
        <v>1239</v>
      </c>
      <c r="B34" s="316"/>
      <c r="C34" s="316"/>
      <c r="D34" s="316"/>
      <c r="E34" s="141" t="s">
        <v>1227</v>
      </c>
      <c r="F34" s="141" t="str">
        <f>'DB GIF'!D24</f>
        <v>1550 kV</v>
      </c>
      <c r="G34" s="393"/>
    </row>
    <row r="35" spans="1:8" x14ac:dyDescent="0.2">
      <c r="A35" s="316" t="s">
        <v>1241</v>
      </c>
      <c r="B35" s="316"/>
      <c r="C35" s="316"/>
      <c r="D35" s="316"/>
      <c r="E35" s="141" t="s">
        <v>1227</v>
      </c>
      <c r="F35" s="141" t="str">
        <f>'DB GIF'!J24</f>
        <v>1175 kV</v>
      </c>
      <c r="G35" s="78"/>
    </row>
    <row r="36" spans="1:8" x14ac:dyDescent="0.2">
      <c r="A36" s="319" t="s">
        <v>1268</v>
      </c>
      <c r="B36" s="319"/>
      <c r="C36" s="319"/>
      <c r="D36" s="319"/>
      <c r="E36" s="310" t="s">
        <v>1227</v>
      </c>
      <c r="F36" s="310">
        <f>'DB GIF'!C25</f>
        <v>0</v>
      </c>
      <c r="G36" s="308"/>
      <c r="H36" s="311"/>
    </row>
    <row r="38" spans="1:8" x14ac:dyDescent="0.2">
      <c r="A38" s="822" t="s">
        <v>1184</v>
      </c>
      <c r="B38" s="822"/>
      <c r="C38" s="822"/>
      <c r="D38" s="822"/>
      <c r="E38" s="822"/>
      <c r="F38" s="822"/>
      <c r="G38" s="822"/>
    </row>
    <row r="39" spans="1:8" x14ac:dyDescent="0.2">
      <c r="A39" s="311"/>
      <c r="B39" s="311"/>
      <c r="C39" s="311"/>
      <c r="D39" s="384"/>
      <c r="E39" s="311"/>
      <c r="F39" s="311"/>
      <c r="G39" s="394"/>
      <c r="H39" s="311"/>
    </row>
    <row r="40" spans="1:8" x14ac:dyDescent="0.2">
      <c r="A40" s="305"/>
      <c r="B40" s="305"/>
      <c r="C40" s="305"/>
      <c r="D40" s="385"/>
      <c r="E40" s="305"/>
      <c r="F40" s="305"/>
      <c r="G40" s="305"/>
      <c r="H40" s="305"/>
    </row>
    <row r="41" spans="1:8" x14ac:dyDescent="0.2">
      <c r="A41" s="316" t="s">
        <v>1186</v>
      </c>
      <c r="B41" s="78"/>
      <c r="C41" s="78"/>
      <c r="D41" s="306"/>
      <c r="E41" s="78"/>
      <c r="F41" s="316" t="s">
        <v>1187</v>
      </c>
      <c r="G41" s="395"/>
    </row>
    <row r="42" spans="1:8" ht="15.95" customHeight="1" x14ac:dyDescent="0.25">
      <c r="A42" s="316" t="s">
        <v>1189</v>
      </c>
      <c r="B42" s="316"/>
      <c r="C42" s="316"/>
      <c r="D42" s="316"/>
      <c r="E42" s="141" t="s">
        <v>1190</v>
      </c>
      <c r="F42" s="836" t="str">
        <f>'DB GIF'!G27</f>
        <v>43,3 (25) [RUSCD(SCD)]</v>
      </c>
      <c r="G42" s="839"/>
    </row>
    <row r="43" spans="1:8" x14ac:dyDescent="0.2">
      <c r="A43" t="s">
        <v>1192</v>
      </c>
      <c r="D43"/>
      <c r="E43" t="s">
        <v>1193</v>
      </c>
      <c r="F43" t="str">
        <f>IF('[3]DB GIF'!J27=0,"-",'[3]DB GIF'!J27)</f>
        <v>-</v>
      </c>
    </row>
    <row r="44" spans="1:8" x14ac:dyDescent="0.2">
      <c r="A44" s="396"/>
      <c r="B44" s="311"/>
      <c r="C44" s="308"/>
      <c r="D44" s="310"/>
      <c r="E44" s="308"/>
      <c r="F44" s="308"/>
      <c r="G44" s="308"/>
      <c r="H44" s="311"/>
    </row>
    <row r="45" spans="1:8" x14ac:dyDescent="0.2">
      <c r="A45" s="2"/>
      <c r="B45" s="2"/>
      <c r="C45" s="2"/>
      <c r="D45" s="2"/>
      <c r="E45" s="2"/>
      <c r="F45" s="2"/>
      <c r="G45" s="2"/>
    </row>
    <row r="46" spans="1:8" x14ac:dyDescent="0.2">
      <c r="A46" s="822" t="s">
        <v>1247</v>
      </c>
      <c r="B46" s="822"/>
      <c r="C46" s="822"/>
      <c r="D46" s="822"/>
      <c r="E46" s="822"/>
      <c r="F46" s="822"/>
      <c r="G46" s="822"/>
    </row>
    <row r="47" spans="1:8" x14ac:dyDescent="0.2">
      <c r="A47" s="308"/>
      <c r="B47" s="308"/>
      <c r="C47" s="308"/>
      <c r="D47" s="310"/>
      <c r="E47" s="308"/>
      <c r="F47" s="308"/>
      <c r="G47" s="308"/>
      <c r="H47" s="311"/>
    </row>
    <row r="48" spans="1:8" x14ac:dyDescent="0.2">
      <c r="A48" s="78"/>
      <c r="B48" s="78"/>
      <c r="C48" s="78"/>
      <c r="D48" s="141"/>
      <c r="E48" s="78"/>
      <c r="F48" s="78"/>
      <c r="G48" s="78"/>
    </row>
    <row r="49" spans="1:8" ht="15" x14ac:dyDescent="0.25">
      <c r="A49" s="386" t="s">
        <v>1722</v>
      </c>
    </row>
    <row r="50" spans="1:8" x14ac:dyDescent="0.2">
      <c r="A50" s="2"/>
    </row>
    <row r="51" spans="1:8" x14ac:dyDescent="0.2">
      <c r="A51" s="316" t="s">
        <v>1253</v>
      </c>
      <c r="B51" s="78" t="s">
        <v>1254</v>
      </c>
      <c r="C51" s="78"/>
      <c r="D51" s="141"/>
      <c r="E51" s="78"/>
      <c r="F51" s="316">
        <f>'DB GIF'!J52</f>
        <v>0</v>
      </c>
      <c r="G51" s="141"/>
    </row>
    <row r="52" spans="1:8" x14ac:dyDescent="0.2">
      <c r="A52" s="316"/>
      <c r="B52" s="78" t="s">
        <v>1256</v>
      </c>
      <c r="C52" s="78"/>
      <c r="D52" s="141"/>
      <c r="E52" s="78"/>
      <c r="F52" s="316">
        <f>'DB GIF'!J59</f>
        <v>0</v>
      </c>
      <c r="G52" s="141"/>
    </row>
    <row r="53" spans="1:8" x14ac:dyDescent="0.2">
      <c r="A53" s="316" t="s">
        <v>1303</v>
      </c>
      <c r="B53" s="78"/>
      <c r="C53" s="397"/>
      <c r="D53" s="141"/>
      <c r="E53" s="141" t="s">
        <v>1259</v>
      </c>
      <c r="F53" s="398">
        <f>'DB GIF'!D53</f>
        <v>0</v>
      </c>
      <c r="G53" s="78"/>
    </row>
    <row r="55" spans="1:8" x14ac:dyDescent="0.2">
      <c r="A55" s="316"/>
      <c r="B55" s="78"/>
      <c r="C55" s="397"/>
      <c r="D55" s="141"/>
      <c r="E55" s="141"/>
      <c r="F55" s="398"/>
      <c r="G55" s="78"/>
    </row>
    <row r="56" spans="1:8" x14ac:dyDescent="0.2">
      <c r="A56" s="316"/>
      <c r="B56" s="78"/>
      <c r="C56" s="397"/>
      <c r="D56" s="141"/>
      <c r="E56" s="141"/>
      <c r="F56" s="398"/>
      <c r="G56" s="78"/>
    </row>
    <row r="57" spans="1:8" x14ac:dyDescent="0.2">
      <c r="A57" s="316" t="s">
        <v>1759</v>
      </c>
      <c r="B57" s="78"/>
      <c r="C57" s="397"/>
      <c r="D57" s="141"/>
      <c r="E57" s="141" t="s">
        <v>1205</v>
      </c>
      <c r="F57" s="398" t="str">
        <f>IF('DB GIF'!A53="nicht erf.","",'DB GIF'!A53)</f>
        <v/>
      </c>
      <c r="G57" s="78"/>
    </row>
    <row r="58" spans="1:8" x14ac:dyDescent="0.2">
      <c r="B58" s="78"/>
      <c r="C58" s="78"/>
      <c r="D58" s="141"/>
      <c r="E58" s="141"/>
      <c r="F58" s="399"/>
      <c r="G58" s="78"/>
    </row>
    <row r="59" spans="1:8" ht="24" x14ac:dyDescent="0.2">
      <c r="B59" s="400" t="s">
        <v>1723</v>
      </c>
      <c r="C59" s="400" t="s">
        <v>1724</v>
      </c>
      <c r="D59" s="400" t="s">
        <v>1725</v>
      </c>
      <c r="E59" s="400" t="s">
        <v>1726</v>
      </c>
      <c r="F59" s="400" t="s">
        <v>1727</v>
      </c>
      <c r="G59" s="401" t="s">
        <v>1728</v>
      </c>
      <c r="H59" s="309"/>
    </row>
    <row r="60" spans="1:8" ht="36" x14ac:dyDescent="0.2">
      <c r="A60" s="402" t="s">
        <v>1729</v>
      </c>
      <c r="B60" s="403" t="str">
        <f>IF('DB GIF'!D53="","",'DB GIF'!D53)</f>
        <v/>
      </c>
      <c r="C60" s="403" t="str">
        <f>IF('DB GIF'!E53="","",'DB GIF'!E53)</f>
        <v/>
      </c>
      <c r="D60" s="403" t="str">
        <f>IF('DB GIF'!F53="","",'DB GIF'!F53)</f>
        <v/>
      </c>
      <c r="E60" s="403" t="str">
        <f>IF('DB GIF'!G53="","",'DB GIF'!G53)</f>
        <v/>
      </c>
      <c r="F60" s="403" t="str">
        <f>IF('DB GIF'!H53="","",'DB GIF'!H53)</f>
        <v/>
      </c>
      <c r="G60" s="403" t="str">
        <f>IF('DB GIF'!I53="","",'DB GIF'!I53)</f>
        <v/>
      </c>
      <c r="H60" s="309"/>
    </row>
    <row r="61" spans="1:8" ht="36" x14ac:dyDescent="0.2">
      <c r="A61" s="402" t="s">
        <v>1730</v>
      </c>
      <c r="B61" s="403" t="str">
        <f>IF('DB GIF'!D55="","",'DB GIF'!D55)</f>
        <v/>
      </c>
      <c r="C61" s="403" t="str">
        <f>IF('DB GIF'!E55="","",'DB GIF'!E55)</f>
        <v/>
      </c>
      <c r="D61" s="403" t="str">
        <f>IF('DB GIF'!F55="","",'DB GIF'!F55)</f>
        <v/>
      </c>
      <c r="E61" s="403" t="str">
        <f>IF('DB GIF'!G55="","",'DB GIF'!G55)</f>
        <v/>
      </c>
      <c r="F61" s="403" t="str">
        <f>IF('DB GIF'!H55="","",'DB GIF'!H55)</f>
        <v/>
      </c>
      <c r="G61" s="403" t="str">
        <f>IF('DB GIF'!I55="","",'DB GIF'!I55)</f>
        <v/>
      </c>
      <c r="H61" s="309"/>
    </row>
    <row r="62" spans="1:8" ht="24" x14ac:dyDescent="0.2">
      <c r="A62" s="402" t="s">
        <v>1731</v>
      </c>
      <c r="B62" s="403" t="str">
        <f>IF('DB GIF'!D57="","",'DB GIF'!D57)</f>
        <v/>
      </c>
      <c r="C62" s="403" t="str">
        <f>IF('DB GIF'!E57="","",'DB GIF'!E57)</f>
        <v/>
      </c>
      <c r="D62" s="403" t="str">
        <f>IF('DB GIF'!F57="","",'DB GIF'!F57)</f>
        <v/>
      </c>
      <c r="E62" s="403" t="str">
        <f>IF('DB GIF'!G57="","",'DB GIF'!G57)</f>
        <v/>
      </c>
      <c r="F62" s="403" t="str">
        <f>IF('DB GIF'!H57="","",'DB GIF'!H57)</f>
        <v/>
      </c>
      <c r="G62" s="403" t="str">
        <f>IF('DB GIF'!I57="","",'DB GIF'!I57)</f>
        <v/>
      </c>
      <c r="H62" s="309"/>
    </row>
    <row r="63" spans="1:8" ht="24" x14ac:dyDescent="0.2">
      <c r="A63" s="402" t="s">
        <v>1262</v>
      </c>
      <c r="B63" s="403" t="str">
        <f>IF('DB GIF'!D59="","",'DB GIF'!D59)</f>
        <v/>
      </c>
      <c r="C63" s="403" t="str">
        <f>IF('DB GIF'!E59="","",'DB GIF'!E59)</f>
        <v/>
      </c>
      <c r="D63" s="403" t="str">
        <f>IF('DB GIF'!F59="","",'DB GIF'!F59)</f>
        <v/>
      </c>
      <c r="E63" s="403" t="str">
        <f>IF('DB GIF'!G59="","",'DB GIF'!G59)</f>
        <v/>
      </c>
      <c r="F63" s="403" t="str">
        <f>IF('DB GIF'!H59="","",'DB GIF'!H59)</f>
        <v/>
      </c>
      <c r="G63" s="403" t="str">
        <f>IF('DB GIF'!I59="","",'DB GIF'!I59)</f>
        <v/>
      </c>
      <c r="H63" s="309"/>
    </row>
    <row r="64" spans="1:8" ht="36" x14ac:dyDescent="0.2">
      <c r="A64" s="402" t="s">
        <v>1732</v>
      </c>
      <c r="B64" s="403" t="str">
        <f>IF('DB GIF'!D60="","",'DB GIF'!D60)</f>
        <v/>
      </c>
      <c r="C64" s="403" t="str">
        <f>IF('DB GIF'!E60="","",'DB GIF'!E60)</f>
        <v/>
      </c>
      <c r="D64" s="403" t="str">
        <f>IF('DB GIF'!F60="","",'DB GIF'!F60)</f>
        <v/>
      </c>
      <c r="E64" s="403" t="str">
        <f>IF('DB GIF'!G60="","",'DB GIF'!G60)</f>
        <v/>
      </c>
      <c r="F64" s="403" t="str">
        <f>IF('DB GIF'!H60="","",'DB GIF'!H60)</f>
        <v/>
      </c>
      <c r="G64" s="403" t="str">
        <f>IF('DB GIF'!I60="","",'DB GIF'!I60)</f>
        <v/>
      </c>
      <c r="H64" s="309"/>
    </row>
    <row r="65" spans="1:8" x14ac:dyDescent="0.2">
      <c r="A65" s="402" t="s">
        <v>14</v>
      </c>
      <c r="B65" s="403" t="str">
        <f>IF('DB GIF'!D61="","",'DB GIF'!D61)</f>
        <v/>
      </c>
      <c r="C65" s="403" t="str">
        <f>IF('DB GIF'!E61="","",'DB GIF'!E61)</f>
        <v/>
      </c>
      <c r="D65" s="403" t="str">
        <f>IF('DB GIF'!F61="","",'DB GIF'!F61)</f>
        <v/>
      </c>
      <c r="E65" s="403" t="str">
        <f>IF('DB GIF'!G61="","",'DB GIF'!G61)</f>
        <v/>
      </c>
      <c r="F65" s="403" t="str">
        <f>IF('DB GIF'!H61="","",'DB GIF'!H61)</f>
        <v/>
      </c>
      <c r="G65" s="403" t="str">
        <f>IF('DB GIF'!I61="","",'DB GIF'!I61)</f>
        <v/>
      </c>
      <c r="H65" s="309"/>
    </row>
    <row r="66" spans="1:8" ht="24" x14ac:dyDescent="0.2">
      <c r="A66" s="402" t="s">
        <v>1733</v>
      </c>
      <c r="B66" s="24" t="str">
        <f>IF('[3]DB GIF'!D62="","",'[3]DB GIF'!D62)</f>
        <v/>
      </c>
      <c r="C66" s="24" t="str">
        <f>IF('[3]DB GIF'!E62="","",'[3]DB GIF'!E62)</f>
        <v/>
      </c>
      <c r="D66" s="24" t="str">
        <f>IF('[3]DB GIF'!F62="","",'[3]DB GIF'!F62)</f>
        <v/>
      </c>
      <c r="E66" s="24" t="str">
        <f>IF('[3]DB GIF'!G62="","",'[3]DB GIF'!G62)</f>
        <v/>
      </c>
      <c r="F66" s="24" t="str">
        <f>IF('[3]DB GIF'!H62="","",'[3]DB GIF'!H62)</f>
        <v/>
      </c>
      <c r="G66" s="24" t="str">
        <f>IF('[3]DB GIF'!I62="","",'[3]DB GIF'!I62)</f>
        <v/>
      </c>
      <c r="H66" s="309"/>
    </row>
    <row r="67" spans="1:8" x14ac:dyDescent="0.2">
      <c r="A67" s="404" t="s">
        <v>1734</v>
      </c>
      <c r="D67"/>
      <c r="H67" s="411"/>
    </row>
    <row r="68" spans="1:8" x14ac:dyDescent="0.2">
      <c r="A68" s="833" t="str">
        <f>IF('DB GIF'!A67="","",'DB GIF'!A67)</f>
        <v/>
      </c>
      <c r="B68" s="834"/>
      <c r="C68" s="834"/>
      <c r="D68" s="834"/>
      <c r="E68" s="834"/>
      <c r="F68" s="834"/>
      <c r="G68" s="834"/>
      <c r="H68" s="834"/>
    </row>
    <row r="69" spans="1:8" x14ac:dyDescent="0.2">
      <c r="A69" s="831"/>
      <c r="B69" s="831"/>
      <c r="C69" s="831"/>
      <c r="D69" s="831"/>
      <c r="E69" s="831"/>
      <c r="F69" s="831"/>
      <c r="G69" s="831"/>
      <c r="H69" s="831"/>
    </row>
    <row r="70" spans="1:8" x14ac:dyDescent="0.2">
      <c r="D70"/>
    </row>
    <row r="71" spans="1:8" ht="15" customHeight="1" x14ac:dyDescent="0.25">
      <c r="A71" s="386" t="s">
        <v>1735</v>
      </c>
      <c r="B71" s="78"/>
      <c r="C71" s="78"/>
      <c r="D71" s="141"/>
      <c r="E71" s="141"/>
      <c r="F71" s="399"/>
      <c r="G71" s="78"/>
    </row>
    <row r="72" spans="1:8" ht="16.5" customHeight="1" x14ac:dyDescent="0.2">
      <c r="A72" s="2"/>
      <c r="B72" s="78"/>
      <c r="C72" s="78"/>
      <c r="D72" s="141"/>
      <c r="E72" s="141"/>
      <c r="F72" s="399"/>
      <c r="G72" s="78"/>
    </row>
    <row r="73" spans="1:8" ht="16.5" customHeight="1" x14ac:dyDescent="0.2">
      <c r="A73" s="404" t="s">
        <v>1760</v>
      </c>
      <c r="B73" s="78"/>
      <c r="C73" s="78" t="s">
        <v>1763</v>
      </c>
      <c r="D73" s="141" t="str">
        <f>'DB GIF'!A71</f>
        <v>3200 cont  -  3500 1h</v>
      </c>
      <c r="E73" s="141"/>
      <c r="F73" s="399"/>
      <c r="G73" s="78"/>
    </row>
    <row r="74" spans="1:8" ht="14.1" customHeight="1" x14ac:dyDescent="0.2">
      <c r="A74" s="404" t="s">
        <v>1761</v>
      </c>
      <c r="B74" s="78"/>
      <c r="C74" s="78" t="s">
        <v>1764</v>
      </c>
      <c r="D74" s="141" t="str">
        <f>'DB GIF'!A73</f>
        <v>63 kA / 1s</v>
      </c>
      <c r="E74" s="141"/>
      <c r="F74" s="399"/>
      <c r="G74" s="78"/>
    </row>
    <row r="75" spans="1:8" ht="14.1" customHeight="1" x14ac:dyDescent="0.2">
      <c r="A75" s="404" t="s">
        <v>613</v>
      </c>
      <c r="B75" s="78"/>
      <c r="C75" s="78" t="s">
        <v>1763</v>
      </c>
      <c r="D75" s="141" t="str">
        <f>'DB GIF'!A75</f>
        <v>160 kA</v>
      </c>
      <c r="E75" s="141"/>
      <c r="F75" s="399"/>
      <c r="G75" s="78"/>
    </row>
    <row r="76" spans="1:8" ht="15.6" customHeight="1" x14ac:dyDescent="0.2">
      <c r="A76" s="837" t="s">
        <v>1762</v>
      </c>
      <c r="B76" s="838"/>
      <c r="C76" s="78"/>
      <c r="D76" s="141" t="str">
        <f>IF('DB GIF'!A77="legt Berechnung fest","secondary taps","primary reconnection")</f>
        <v>secondary taps</v>
      </c>
      <c r="E76" s="141"/>
      <c r="F76" s="399"/>
      <c r="G76" s="78"/>
    </row>
    <row r="77" spans="1:8" ht="15.6" customHeight="1" x14ac:dyDescent="0.2">
      <c r="A77" s="404"/>
      <c r="C77" s="78"/>
      <c r="D77" s="141"/>
      <c r="E77" s="141"/>
      <c r="F77" s="399"/>
      <c r="G77" s="78"/>
    </row>
    <row r="78" spans="1:8" ht="36.6" customHeight="1" x14ac:dyDescent="0.2">
      <c r="B78" s="400" t="s">
        <v>1736</v>
      </c>
      <c r="C78" s="400" t="s">
        <v>1737</v>
      </c>
      <c r="D78" s="400" t="s">
        <v>1738</v>
      </c>
      <c r="E78" s="400" t="s">
        <v>1739</v>
      </c>
      <c r="F78" s="400" t="s">
        <v>1740</v>
      </c>
      <c r="G78" s="401" t="s">
        <v>1741</v>
      </c>
      <c r="H78" s="400" t="s">
        <v>1742</v>
      </c>
    </row>
    <row r="79" spans="1:8" ht="24" x14ac:dyDescent="0.2">
      <c r="A79" s="402" t="s">
        <v>1743</v>
      </c>
      <c r="B79" s="403">
        <f>IF('DB GIF'!D73="","",'DB GIF'!D73)</f>
        <v>0.2</v>
      </c>
      <c r="C79" s="403">
        <f>IF('DB GIF'!E73="","",'DB GIF'!E73)</f>
        <v>0.2</v>
      </c>
      <c r="D79" s="403" t="str">
        <f>IF('DB GIF'!F73="","",'DB GIF'!F73)</f>
        <v/>
      </c>
      <c r="E79" s="403" t="str">
        <f>IF('DB GIF'!G73="","",'DB GIF'!G73)</f>
        <v/>
      </c>
      <c r="F79" s="403" t="str">
        <f>IF('DB GIF'!H73="","",'DB GIF'!H73)</f>
        <v/>
      </c>
      <c r="G79" s="403" t="str">
        <f>IF('DB GIF'!I73="","",'DB GIF'!I73)</f>
        <v/>
      </c>
      <c r="H79" s="403" t="str">
        <f>IF('DB GIF'!J73="","",'DB GIF'!J73)</f>
        <v/>
      </c>
    </row>
    <row r="80" spans="1:8" ht="24" x14ac:dyDescent="0.2">
      <c r="A80" s="402" t="s">
        <v>1744</v>
      </c>
      <c r="B80" s="403">
        <f>IF('DB GIF'!D74="","",'DB GIF'!D74)</f>
        <v>1000</v>
      </c>
      <c r="C80" s="403">
        <f>IF('DB GIF'!E74="","",'DB GIF'!E74)</f>
        <v>1000</v>
      </c>
      <c r="D80" s="403" t="str">
        <f>IF('DB GIF'!F74="","",'DB GIF'!F74)</f>
        <v/>
      </c>
      <c r="E80" s="403" t="str">
        <f>IF('DB GIF'!G74="","",'DB GIF'!G74)</f>
        <v/>
      </c>
      <c r="F80" s="403" t="str">
        <f>IF('DB GIF'!H74="","",'DB GIF'!H74)</f>
        <v/>
      </c>
      <c r="G80" s="403" t="str">
        <f>IF('DB GIF'!I74="","",'DB GIF'!I74)</f>
        <v/>
      </c>
      <c r="H80" s="403" t="str">
        <f>IF('DB GIF'!J74="","",'DB GIF'!J74)</f>
        <v/>
      </c>
    </row>
    <row r="81" spans="1:8" ht="24" x14ac:dyDescent="0.2">
      <c r="A81" s="402" t="s">
        <v>1745</v>
      </c>
      <c r="B81" s="403" t="str">
        <f>IF('DB GIF'!D76="","",'DB GIF'!D76)</f>
        <v>5 A</v>
      </c>
      <c r="C81" s="403" t="str">
        <f>IF('DB GIF'!E76="","",'DB GIF'!E76)</f>
        <v>5 A</v>
      </c>
      <c r="D81" s="403" t="str">
        <f>IF('DB GIF'!F76="","",'DB GIF'!F76)</f>
        <v/>
      </c>
      <c r="E81" s="403" t="str">
        <f>IF('DB GIF'!G76="","",'DB GIF'!G76)</f>
        <v/>
      </c>
      <c r="F81" s="403" t="str">
        <f>IF('DB GIF'!H76="","",'DB GIF'!H76)</f>
        <v/>
      </c>
      <c r="G81" s="403" t="str">
        <f>IF('DB GIF'!I76="","",'DB GIF'!I76)</f>
        <v/>
      </c>
      <c r="H81" s="403" t="str">
        <f>IF('DB GIF'!J76="","",'DB GIF'!J76)</f>
        <v/>
      </c>
    </row>
    <row r="82" spans="1:8" x14ac:dyDescent="0.2">
      <c r="A82" s="402" t="s">
        <v>1746</v>
      </c>
      <c r="B82" s="403" t="str">
        <f>IF('DB GIF'!D79="","",'DB GIF'!D79)</f>
        <v/>
      </c>
      <c r="C82" s="403" t="str">
        <f>IF('DB GIF'!E79="","",'DB GIF'!E79)</f>
        <v/>
      </c>
      <c r="D82" s="403" t="str">
        <f>IF('DB GIF'!F79="","",'DB GIF'!F79)</f>
        <v/>
      </c>
      <c r="E82" s="403" t="str">
        <f>IF('DB GIF'!G79="","",'DB GIF'!G79)</f>
        <v/>
      </c>
      <c r="F82" s="403" t="str">
        <f>IF('DB GIF'!H79="","",'DB GIF'!H79)</f>
        <v/>
      </c>
      <c r="G82" s="403" t="str">
        <f>IF('DB GIF'!I79="","",'DB GIF'!I79)</f>
        <v/>
      </c>
      <c r="H82" s="403" t="str">
        <f>IF('DB GIF'!J79="","",'DB GIF'!J79)</f>
        <v/>
      </c>
    </row>
    <row r="83" spans="1:8" x14ac:dyDescent="0.2">
      <c r="A83" s="402" t="s">
        <v>1747</v>
      </c>
      <c r="B83" s="403" t="str">
        <f>IF('DB GIF'!D80="","",'DB GIF'!D80)</f>
        <v>60</v>
      </c>
      <c r="C83" s="403" t="str">
        <f>IF('DB GIF'!E80="","",'DB GIF'!E80)</f>
        <v>60</v>
      </c>
      <c r="D83" s="403" t="str">
        <f>IF('DB GIF'!F80="","",'DB GIF'!F80)</f>
        <v/>
      </c>
      <c r="E83" s="403" t="str">
        <f>IF('DB GIF'!G80="","",'DB GIF'!G80)</f>
        <v/>
      </c>
      <c r="F83" s="403" t="str">
        <f>IF('DB GIF'!H80="","",'DB GIF'!H80)</f>
        <v/>
      </c>
      <c r="G83" s="403" t="str">
        <f>IF('DB GIF'!I80="","",'DB GIF'!I80)</f>
        <v/>
      </c>
      <c r="H83" s="403" t="str">
        <f>IF('DB GIF'!J80="","",'DB GIF'!J80)</f>
        <v/>
      </c>
    </row>
    <row r="84" spans="1:8" x14ac:dyDescent="0.2">
      <c r="A84" s="402" t="s">
        <v>1748</v>
      </c>
      <c r="B84" s="413">
        <f>IF('DB GIF'!D82="","",'DB GIF'!D82)</f>
        <v>1.5</v>
      </c>
      <c r="C84" s="413">
        <f>IF('DB GIF'!E82="","",'DB GIF'!E82)</f>
        <v>1.5</v>
      </c>
      <c r="D84" s="413" t="str">
        <f>IF('DB GIF'!F82="","",'DB GIF'!F82)</f>
        <v/>
      </c>
      <c r="E84" s="413" t="str">
        <f>IF('DB GIF'!G82="","",'DB GIF'!G82)</f>
        <v/>
      </c>
      <c r="F84" s="413" t="str">
        <f>IF('DB GIF'!H82="","",'DB GIF'!H82)</f>
        <v/>
      </c>
      <c r="G84" s="413" t="str">
        <f>IF('DB GIF'!I82="","",'DB GIF'!I82)</f>
        <v/>
      </c>
      <c r="H84" s="413" t="str">
        <f>IF('DB GIF'!J82="","",'DB GIF'!J82)</f>
        <v/>
      </c>
    </row>
    <row r="85" spans="1:8" x14ac:dyDescent="0.2">
      <c r="A85" s="402" t="s">
        <v>383</v>
      </c>
      <c r="B85" s="403" t="str">
        <f>IF('DB GIF'!D84="","",'DB GIF'!D84)</f>
        <v/>
      </c>
      <c r="C85" s="403" t="str">
        <f>IF('DB GIF'!E84="","",'DB GIF'!E84)</f>
        <v/>
      </c>
      <c r="D85" s="403" t="str">
        <f>IF('DB GIF'!F84="","",'DB GIF'!F84)</f>
        <v/>
      </c>
      <c r="E85" s="403" t="str">
        <f>IF('DB GIF'!G84="","",'DB GIF'!G84)</f>
        <v/>
      </c>
      <c r="F85" s="403" t="str">
        <f>IF('DB GIF'!H84="","",'DB GIF'!H84)</f>
        <v/>
      </c>
      <c r="G85" s="403" t="str">
        <f>IF('DB GIF'!I84="","",'DB GIF'!I84)</f>
        <v/>
      </c>
      <c r="H85" s="403" t="str">
        <f>IF('DB GIF'!J84="","",'DB GIF'!J84)</f>
        <v/>
      </c>
    </row>
    <row r="86" spans="1:8" x14ac:dyDescent="0.2">
      <c r="A86" s="402" t="s">
        <v>397</v>
      </c>
      <c r="B86" s="403" t="str">
        <f>IF('DB GIF'!D87="","",'DB GIF'!D87)</f>
        <v/>
      </c>
      <c r="C86" s="403" t="str">
        <f>IF('DB GIF'!E87="","",'DB GIF'!E87)</f>
        <v/>
      </c>
      <c r="D86" s="403" t="str">
        <f>IF('DB GIF'!F87="","",'DB GIF'!F87)</f>
        <v/>
      </c>
      <c r="E86" s="403" t="str">
        <f>IF('DB GIF'!G87="","",'DB GIF'!G87)</f>
        <v/>
      </c>
      <c r="F86" s="403" t="str">
        <f>IF('DB GIF'!H87="","",'DB GIF'!H87)</f>
        <v/>
      </c>
      <c r="G86" s="403" t="str">
        <f>IF('DB GIF'!I87="","",'DB GIF'!I87)</f>
        <v/>
      </c>
      <c r="H86" s="403" t="str">
        <f>IF('DB GIF'!J87="","",'DB GIF'!J87)</f>
        <v/>
      </c>
    </row>
    <row r="87" spans="1:8" x14ac:dyDescent="0.2">
      <c r="A87" s="402" t="s">
        <v>1749</v>
      </c>
      <c r="B87" s="403" t="str">
        <f>IF('DB GIF'!D89="","",'DB GIF'!D89)</f>
        <v/>
      </c>
      <c r="C87" s="403" t="str">
        <f>IF('DB GIF'!E89="","",'DB GIF'!E89)</f>
        <v/>
      </c>
      <c r="D87" s="403" t="str">
        <f>IF('DB GIF'!F89="","",'DB GIF'!F89)</f>
        <v/>
      </c>
      <c r="E87" s="403" t="str">
        <f>IF('DB GIF'!G89="","",'DB GIF'!G89)</f>
        <v/>
      </c>
      <c r="F87" s="403" t="str">
        <f>IF('DB GIF'!H89="","",'DB GIF'!H89)</f>
        <v/>
      </c>
      <c r="G87" s="403" t="str">
        <f>IF('DB GIF'!I89="","",'DB GIF'!I89)</f>
        <v/>
      </c>
      <c r="H87" s="403" t="str">
        <f>IF('DB GIF'!J89="","",'DB GIF'!J89)</f>
        <v/>
      </c>
    </row>
    <row r="88" spans="1:8" x14ac:dyDescent="0.2">
      <c r="A88" s="402" t="s">
        <v>289</v>
      </c>
      <c r="B88" s="403" t="str">
        <f>IF('DB GIF'!D92="","",'DB GIF'!D92)</f>
        <v/>
      </c>
      <c r="C88" s="403" t="str">
        <f>IF('DB GIF'!E92="","",'DB GIF'!E92)</f>
        <v/>
      </c>
      <c r="D88" s="403" t="str">
        <f>IF('DB GIF'!F92="","",'DB GIF'!F92)</f>
        <v/>
      </c>
      <c r="E88" s="403" t="str">
        <f>IF('DB GIF'!G92="","",'DB GIF'!G92)</f>
        <v/>
      </c>
      <c r="F88" s="403" t="str">
        <f>IF('DB GIF'!H92="","",'DB GIF'!H92)</f>
        <v/>
      </c>
      <c r="G88" s="403" t="str">
        <f>IF('DB GIF'!I92="","",'DB GIF'!I92)</f>
        <v/>
      </c>
      <c r="H88" s="403" t="str">
        <f>IF('DB GIF'!J92="","",'DB GIF'!J92)</f>
        <v/>
      </c>
    </row>
    <row r="89" spans="1:8" ht="24" x14ac:dyDescent="0.2">
      <c r="A89" s="402" t="s">
        <v>1772</v>
      </c>
      <c r="B89" s="403" t="str">
        <f>IF('DB GIF'!D95="","",'DB GIF'!D95)</f>
        <v/>
      </c>
      <c r="C89" s="403" t="str">
        <f>IF('DB GIF'!E95="","",'DB GIF'!E95)</f>
        <v/>
      </c>
      <c r="D89" s="403" t="str">
        <f>IF('DB GIF'!F95="","",'DB GIF'!F95)</f>
        <v/>
      </c>
      <c r="E89" s="403" t="str">
        <f>IF('DB GIF'!G95="","",'DB GIF'!G95)</f>
        <v/>
      </c>
      <c r="F89" s="403" t="str">
        <f>IF('DB GIF'!H95="","",'DB GIF'!H95)</f>
        <v/>
      </c>
      <c r="G89" s="403" t="str">
        <f>IF('DB GIF'!I95="","",'DB GIF'!I95)</f>
        <v/>
      </c>
      <c r="H89" s="403" t="str">
        <f>IF('DB GIF'!J95="","",'DB GIF'!J95)</f>
        <v/>
      </c>
    </row>
    <row r="90" spans="1:8" ht="24" x14ac:dyDescent="0.2">
      <c r="A90" s="402" t="s">
        <v>1771</v>
      </c>
      <c r="B90" s="403" t="str">
        <f>IF('DB GIF'!D96="","",'DB GIF'!D96)</f>
        <v/>
      </c>
      <c r="C90" s="403" t="str">
        <f>IF('DB GIF'!E96="","",'DB GIF'!E96)</f>
        <v/>
      </c>
      <c r="D90" s="403" t="str">
        <f>IF('DB GIF'!F96="","",'DB GIF'!F96)</f>
        <v/>
      </c>
      <c r="E90" s="403" t="str">
        <f>IF('DB GIF'!G96="","",'DB GIF'!G96)</f>
        <v/>
      </c>
      <c r="F90" s="403" t="str">
        <f>IF('DB GIF'!H96="","",'DB GIF'!H96)</f>
        <v/>
      </c>
      <c r="G90" s="403" t="str">
        <f>IF('DB GIF'!I96="","",'DB GIF'!I96)</f>
        <v/>
      </c>
      <c r="H90" s="403" t="str">
        <f>IF('DB GIF'!J96="","",'DB GIF'!J96)</f>
        <v/>
      </c>
    </row>
    <row r="91" spans="1:8" x14ac:dyDescent="0.2">
      <c r="A91" s="402" t="s">
        <v>1750</v>
      </c>
      <c r="B91" s="403" t="str">
        <f>IF('DB GIF'!D103="","",'DB GIF'!D103)</f>
        <v>K</v>
      </c>
      <c r="C91" s="403" t="str">
        <f>IF('DB GIF'!E103="","",'DB GIF'!E103)</f>
        <v/>
      </c>
      <c r="D91" s="403" t="str">
        <f>IF('DB GIF'!F103="","",'DB GIF'!F103)</f>
        <v/>
      </c>
      <c r="E91" s="403" t="str">
        <f>IF('DB GIF'!G103="","",'DB GIF'!G103)</f>
        <v/>
      </c>
      <c r="F91" s="403" t="str">
        <f>IF('DB GIF'!H103="","",'DB GIF'!H103)</f>
        <v/>
      </c>
      <c r="G91" s="403" t="str">
        <f>IF('DB GIF'!I103="","",'DB GIF'!I103)</f>
        <v/>
      </c>
      <c r="H91" s="403" t="str">
        <f>IF('DB GIF'!J103="","",'DB GIF'!J103)</f>
        <v/>
      </c>
    </row>
    <row r="92" spans="1:8" x14ac:dyDescent="0.2">
      <c r="A92" s="402"/>
      <c r="B92" s="24"/>
      <c r="C92" s="24"/>
      <c r="D92" s="24"/>
      <c r="E92" s="24"/>
      <c r="F92" s="24"/>
      <c r="G92" s="24"/>
      <c r="H92" s="24"/>
    </row>
    <row r="93" spans="1:8" x14ac:dyDescent="0.2">
      <c r="A93" s="404"/>
      <c r="D93"/>
    </row>
    <row r="94" spans="1:8" x14ac:dyDescent="0.2">
      <c r="A94" s="404"/>
      <c r="D94"/>
    </row>
    <row r="95" spans="1:8" x14ac:dyDescent="0.2">
      <c r="A95" s="404"/>
      <c r="D95"/>
    </row>
    <row r="96" spans="1:8" x14ac:dyDescent="0.2">
      <c r="A96" s="404"/>
      <c r="D96"/>
    </row>
    <row r="97" spans="1:8" ht="24" x14ac:dyDescent="0.2">
      <c r="A97" s="404" t="s">
        <v>1751</v>
      </c>
      <c r="D97"/>
    </row>
    <row r="98" spans="1:8" ht="14.25" customHeight="1" x14ac:dyDescent="0.2">
      <c r="A98" s="405" t="s">
        <v>1734</v>
      </c>
      <c r="B98" s="311"/>
      <c r="C98" s="311"/>
      <c r="D98" s="311"/>
      <c r="E98" s="311"/>
      <c r="F98" s="311"/>
      <c r="G98" s="311"/>
      <c r="H98" s="311"/>
    </row>
    <row r="99" spans="1:8" x14ac:dyDescent="0.2">
      <c r="A99" s="825" t="str">
        <f>IF('DB GIF'!A106="","",'DB GIF'!A106)</f>
        <v xml:space="preserve">core1 terminals with cover for UTF purpose </v>
      </c>
      <c r="B99" s="825"/>
      <c r="C99" s="825"/>
      <c r="D99" s="825"/>
      <c r="E99" s="825"/>
      <c r="F99" s="825"/>
      <c r="G99" s="825"/>
      <c r="H99" s="825"/>
    </row>
    <row r="100" spans="1:8" x14ac:dyDescent="0.2">
      <c r="A100" s="826"/>
      <c r="B100" s="826"/>
      <c r="C100" s="826"/>
      <c r="D100" s="826"/>
      <c r="E100" s="826"/>
      <c r="F100" s="826"/>
      <c r="G100" s="826"/>
      <c r="H100" s="826"/>
    </row>
    <row r="101" spans="1:8" ht="15.6" customHeight="1" x14ac:dyDescent="0.2">
      <c r="A101" s="822" t="s">
        <v>1270</v>
      </c>
      <c r="B101" s="835"/>
      <c r="C101" s="835"/>
      <c r="D101" s="835"/>
      <c r="E101" s="835"/>
      <c r="F101" s="835"/>
      <c r="G101" s="835"/>
    </row>
    <row r="102" spans="1:8" x14ac:dyDescent="0.2">
      <c r="A102" s="311"/>
      <c r="B102" s="311"/>
      <c r="C102" s="311"/>
      <c r="D102" s="311"/>
      <c r="E102" s="311"/>
      <c r="F102" s="311"/>
      <c r="G102" s="311"/>
      <c r="H102" s="311"/>
    </row>
    <row r="103" spans="1:8" x14ac:dyDescent="0.2">
      <c r="D103"/>
    </row>
    <row r="104" spans="1:8" x14ac:dyDescent="0.2">
      <c r="D104"/>
    </row>
    <row r="105" spans="1:8" x14ac:dyDescent="0.2">
      <c r="A105" s="836" t="s">
        <v>1199</v>
      </c>
      <c r="B105" s="836"/>
      <c r="C105" s="316"/>
      <c r="D105" s="406" t="str">
        <f>'DB GIF'!E151</f>
        <v>Other specification</v>
      </c>
      <c r="E105" s="78"/>
      <c r="F105" s="78"/>
      <c r="G105" s="78"/>
    </row>
    <row r="106" spans="1:8" x14ac:dyDescent="0.2">
      <c r="A106" s="836" t="s">
        <v>1201</v>
      </c>
      <c r="B106" s="836"/>
      <c r="C106" s="316"/>
      <c r="D106" s="406" t="str">
        <f>'DB GIF'!E152</f>
        <v>Other specification</v>
      </c>
      <c r="E106" s="78"/>
      <c r="F106" s="78"/>
      <c r="G106" s="78"/>
    </row>
    <row r="107" spans="1:8" x14ac:dyDescent="0.2">
      <c r="A107" s="316" t="s">
        <v>1752</v>
      </c>
      <c r="B107" s="316"/>
      <c r="C107" s="316"/>
      <c r="D107" s="406"/>
      <c r="E107" s="78"/>
      <c r="F107" s="78"/>
      <c r="G107" s="78"/>
    </row>
    <row r="108" spans="1:8" x14ac:dyDescent="0.2">
      <c r="A108" s="316" t="s">
        <v>1765</v>
      </c>
      <c r="B108" s="316"/>
      <c r="C108" s="316"/>
      <c r="D108" s="406" t="str">
        <f>IF('DB GIF'!C140="Nicht gefordert / not specified","n.a.",'DB GIF'!C140)</f>
        <v>Eingebaut / mounted</v>
      </c>
      <c r="E108" s="78" t="str">
        <f>IF('DB GIF'!E141="","",'DB GIF'!E141)</f>
        <v>8xM25  cableglands for cables having diameter ø 12 ÷ 16 mm 
4 for the secondary and 4 for the density meter</v>
      </c>
      <c r="F108" s="78"/>
      <c r="G108" s="78"/>
    </row>
    <row r="109" spans="1:8" x14ac:dyDescent="0.2">
      <c r="A109" s="316"/>
      <c r="B109" s="316"/>
      <c r="C109" s="316"/>
      <c r="D109" s="406"/>
      <c r="E109" s="78"/>
      <c r="F109" s="78"/>
      <c r="G109" s="78"/>
    </row>
    <row r="110" spans="1:8" x14ac:dyDescent="0.2">
      <c r="A110" s="316" t="s">
        <v>1766</v>
      </c>
      <c r="B110" s="316"/>
      <c r="C110" s="316"/>
      <c r="D110" s="406" t="str">
        <f>IF('DB GIF'!E138="Nein","No","Yes")</f>
        <v>Yes</v>
      </c>
      <c r="E110" s="78"/>
      <c r="F110" s="78"/>
      <c r="G110" s="78"/>
    </row>
    <row r="111" spans="1:8" x14ac:dyDescent="0.2">
      <c r="A111" s="316" t="s">
        <v>1753</v>
      </c>
      <c r="B111" s="316"/>
      <c r="C111" s="316"/>
      <c r="D111" s="406" t="str">
        <f>IF('DB GIF'!E137="Ja","Yes","No")</f>
        <v>No</v>
      </c>
      <c r="E111" s="78" t="str" cm="1">
        <f t="array" ref="E111:F111">IF('DB GIF'!J137:K137="","",'DB GIF'!J137:K137)</f>
        <v/>
      </c>
      <c r="F111" s="78" t="str">
        <v/>
      </c>
      <c r="G111" s="78"/>
    </row>
    <row r="112" spans="1:8" x14ac:dyDescent="0.2">
      <c r="A112" s="78" t="s">
        <v>1263</v>
      </c>
      <c r="B112" s="78"/>
      <c r="C112" s="78"/>
      <c r="D112" s="406" t="str">
        <f>'DB GIF'!E129</f>
        <v>Phoenix UK16N</v>
      </c>
      <c r="F112" s="78"/>
      <c r="G112" s="78"/>
    </row>
    <row r="113" spans="1:8" x14ac:dyDescent="0.2">
      <c r="A113" s="836" t="s">
        <v>1264</v>
      </c>
      <c r="B113" s="836"/>
      <c r="C113" s="839"/>
      <c r="D113" s="406" t="str">
        <f>'DB GIF'!E130</f>
        <v>Phoenix UK6N</v>
      </c>
      <c r="E113" s="78"/>
      <c r="F113" s="78"/>
      <c r="G113" s="78"/>
    </row>
    <row r="114" spans="1:8" x14ac:dyDescent="0.2">
      <c r="A114" s="836" t="s">
        <v>1265</v>
      </c>
      <c r="B114" s="836"/>
      <c r="C114" s="839"/>
      <c r="D114" s="406" t="str">
        <f>'DB GIF'!E108</f>
        <v>mit / with transmitter</v>
      </c>
      <c r="E114" s="78"/>
      <c r="F114" s="78"/>
      <c r="G114" s="78" t="str">
        <f>IF('DB GIF'!J108="keine Auswahl","",'DB GIF'!J108)</f>
        <v>4-20mA</v>
      </c>
    </row>
    <row r="115" spans="1:8" x14ac:dyDescent="0.2">
      <c r="A115" s="316" t="s">
        <v>1754</v>
      </c>
      <c r="B115" s="316"/>
      <c r="C115" s="316"/>
      <c r="D115" s="407">
        <f>'DB GIF'!E109</f>
        <v>0</v>
      </c>
      <c r="E115" s="78"/>
      <c r="F115" s="78"/>
      <c r="G115" s="78"/>
    </row>
    <row r="116" spans="1:8" x14ac:dyDescent="0.2">
      <c r="A116" s="836" t="s">
        <v>1272</v>
      </c>
      <c r="B116" s="836"/>
      <c r="C116" s="839"/>
      <c r="D116" s="78" t="s">
        <v>1207</v>
      </c>
      <c r="E116" s="316">
        <f>'DB GIF'!E110</f>
        <v>2</v>
      </c>
      <c r="F116" s="78"/>
      <c r="G116" s="78"/>
    </row>
    <row r="117" spans="1:8" x14ac:dyDescent="0.2">
      <c r="A117" s="387"/>
      <c r="B117" s="387"/>
      <c r="C117" s="387"/>
      <c r="D117" s="78" t="s">
        <v>1208</v>
      </c>
      <c r="E117" s="78" t="str">
        <f>'DB GIF'!E115</f>
        <v>Wechslend / change over</v>
      </c>
      <c r="F117" s="78"/>
      <c r="G117" s="78"/>
    </row>
    <row r="118" spans="1:8" x14ac:dyDescent="0.2">
      <c r="A118" s="316" t="s">
        <v>1266</v>
      </c>
      <c r="B118" s="387"/>
      <c r="C118" s="387"/>
      <c r="D118" s="406" t="str">
        <f>IF('DB GIF'!E111="Ja","Yes","No")</f>
        <v>Yes</v>
      </c>
      <c r="E118" s="78"/>
      <c r="F118" s="78"/>
      <c r="G118" s="78"/>
    </row>
    <row r="119" spans="1:8" x14ac:dyDescent="0.2">
      <c r="A119" s="316" t="s">
        <v>1767</v>
      </c>
      <c r="B119" s="387"/>
      <c r="C119" s="387"/>
      <c r="D119" s="406" t="str">
        <f>IF('DB GIF'!E113="Ja","Yes","No")</f>
        <v>Yes</v>
      </c>
      <c r="E119" s="78"/>
      <c r="F119" s="78"/>
      <c r="G119" s="78"/>
    </row>
    <row r="120" spans="1:8" x14ac:dyDescent="0.2">
      <c r="A120" s="316" t="s">
        <v>1267</v>
      </c>
      <c r="B120" s="387"/>
      <c r="C120" s="387"/>
      <c r="D120" s="406" t="str">
        <f>IF('DB GIF'!E112="Ja","Yes","No")</f>
        <v>No</v>
      </c>
      <c r="E120" s="78"/>
      <c r="F120" s="78"/>
      <c r="G120" s="78"/>
    </row>
    <row r="121" spans="1:8" s="408" customFormat="1" ht="12.6" customHeight="1" x14ac:dyDescent="0.25">
      <c r="A121" s="316" t="s">
        <v>1214</v>
      </c>
      <c r="B121" s="386"/>
      <c r="C121" s="386"/>
      <c r="D121" s="406" t="str">
        <f>'DB GIF'!E123</f>
        <v>DN8</v>
      </c>
      <c r="E121"/>
      <c r="F121" s="78"/>
      <c r="G121" s="406"/>
      <c r="H121"/>
    </row>
    <row r="122" spans="1:8" ht="12" customHeight="1" x14ac:dyDescent="0.25">
      <c r="A122" s="316" t="s">
        <v>1755</v>
      </c>
      <c r="B122" s="386"/>
      <c r="C122" s="386"/>
      <c r="D122" s="406" t="str">
        <f>IF('DB GIF'!E133="Nein","No","Yes")</f>
        <v>No</v>
      </c>
      <c r="E122" t="str">
        <f>IF('DB GIF'!G134="","",'DB GIF'!G134)</f>
        <v/>
      </c>
      <c r="F122" s="78"/>
      <c r="G122" s="406"/>
    </row>
    <row r="123" spans="1:8" s="408" customFormat="1" ht="15" x14ac:dyDescent="0.25">
      <c r="A123" s="316" t="s">
        <v>1756</v>
      </c>
      <c r="B123" s="386"/>
      <c r="C123" s="386"/>
      <c r="D123" s="406" t="str">
        <f>IF('DB GIF'!E131="Nein","No","Yes")</f>
        <v>No</v>
      </c>
      <c r="E123"/>
      <c r="F123" s="78"/>
      <c r="G123" s="406"/>
      <c r="H123"/>
    </row>
    <row r="124" spans="1:8" s="408" customFormat="1" x14ac:dyDescent="0.2">
      <c r="A124" t="s">
        <v>1217</v>
      </c>
      <c r="B124"/>
      <c r="C124"/>
      <c r="D124" t="str">
        <f>IF('DB GIF'!E132="Nein","No","Yes")</f>
        <v>No</v>
      </c>
      <c r="E124"/>
      <c r="F124"/>
      <c r="G124"/>
      <c r="H124"/>
    </row>
    <row r="125" spans="1:8" s="408" customFormat="1" x14ac:dyDescent="0.2">
      <c r="A125" t="s">
        <v>1223</v>
      </c>
      <c r="B125"/>
      <c r="C125"/>
      <c r="D125" t="s">
        <v>1220</v>
      </c>
      <c r="E125" t="str">
        <f>IF('[3]DB GIF'!E143="Alu silber &amp; schwarze Schrift","Alu with black font","")</f>
        <v>Alu with black font</v>
      </c>
      <c r="F125"/>
      <c r="G125"/>
      <c r="H125"/>
    </row>
    <row r="126" spans="1:8" x14ac:dyDescent="0.2">
      <c r="D126"/>
    </row>
    <row r="127" spans="1:8" x14ac:dyDescent="0.2">
      <c r="A127" t="s">
        <v>1232</v>
      </c>
      <c r="D127" s="2" t="s">
        <v>1769</v>
      </c>
    </row>
    <row r="128" spans="1:8" x14ac:dyDescent="0.2">
      <c r="D128" t="str">
        <f>IF('DB GIF'!G149="keine Lackierung gefordert","n.a.",'DB GIF'!G149)</f>
        <v>RAL 9010 - 216950 (120-240µm)</v>
      </c>
    </row>
    <row r="129" spans="1:8" x14ac:dyDescent="0.2">
      <c r="A129" s="2" t="s">
        <v>1734</v>
      </c>
      <c r="D129"/>
    </row>
    <row r="130" spans="1:8" x14ac:dyDescent="0.2">
      <c r="A130" s="78" t="s">
        <v>1757</v>
      </c>
      <c r="B130" s="78"/>
      <c r="C130" s="78"/>
      <c r="D130" s="78" t="str">
        <f>'DB GIF'!G142</f>
        <v>Italienisch</v>
      </c>
    </row>
    <row r="131" spans="1:8" x14ac:dyDescent="0.2">
      <c r="A131" s="78" t="s">
        <v>1758</v>
      </c>
      <c r="B131" s="78"/>
      <c r="C131" s="78"/>
      <c r="D131" s="78" t="str">
        <f>'DB GIF'!E155</f>
        <v>Italienisch</v>
      </c>
    </row>
    <row r="133" spans="1:8" x14ac:dyDescent="0.2">
      <c r="A133" s="305"/>
      <c r="B133" s="305"/>
      <c r="C133" s="305"/>
      <c r="D133" s="305"/>
      <c r="E133" s="305"/>
      <c r="F133" s="305"/>
      <c r="G133" s="305"/>
      <c r="H133" s="305"/>
    </row>
    <row r="134" spans="1:8" ht="15" x14ac:dyDescent="0.25">
      <c r="A134" s="832" t="s">
        <v>1243</v>
      </c>
      <c r="B134" s="832"/>
      <c r="C134" s="832"/>
      <c r="D134" s="832"/>
      <c r="E134" s="832"/>
      <c r="F134" s="832"/>
      <c r="G134" s="832"/>
    </row>
    <row r="135" spans="1:8" x14ac:dyDescent="0.2">
      <c r="A135" s="311"/>
      <c r="B135" s="311"/>
      <c r="C135" s="311"/>
      <c r="D135" s="311"/>
      <c r="E135" s="311"/>
      <c r="F135" s="311"/>
      <c r="G135" s="311"/>
      <c r="H135" s="311"/>
    </row>
    <row r="136" spans="1:8" x14ac:dyDescent="0.2">
      <c r="A136" s="389" t="s">
        <v>1246</v>
      </c>
      <c r="D136"/>
    </row>
    <row r="137" spans="1:8" x14ac:dyDescent="0.2">
      <c r="D137"/>
    </row>
    <row r="138" spans="1:8" x14ac:dyDescent="0.2">
      <c r="A138" s="409" t="s">
        <v>1182</v>
      </c>
      <c r="B138" s="78"/>
      <c r="C138" s="78"/>
      <c r="D138" s="78"/>
      <c r="E138" s="78"/>
      <c r="F138" s="78"/>
      <c r="G138" s="78"/>
    </row>
    <row r="139" spans="1:8" x14ac:dyDescent="0.2">
      <c r="A139" s="827" t="str">
        <f>IF('DB GIF'!A160="","",'DB GIF'!A160)</f>
        <v xml:space="preserve">Note 1:  2xDN8 or in alternative  1xDN8 + 1xDN20 (Andreas Karl was thinking a 
solution to use SAS adapter (one DN20) and other DN20 or DN8 in the zwischenstuck 
Note 2: Double o-ring in alle the junctions ad per Terna specification on standard transformers. Adapter --&gt; Gaber 
Note 3:  On the outside of the secondary terminal box door there must be a plate, indelible and resistant to
atmospheric agents, showing the following information:
 connection diagrams of the secondary windings and those of the primary sections, if any,
in relation to the respective transformation ratios;
 connection diagram of the gas density control device, with indication of the gas relative
densities corresponding to the two intervention levels.
see example of what we did for Terna 
one big rating plate with LS and SS included see standard HQ rating plate. 
Note 4:  for the steel parts (foot)  in  80mm zinck.  The head castings must be painted on the outer surface only with a 9010 colour epoxy
coating according to the RAL classification in compliance with the UNI EN ISO 12944-2/5 Standards, with a C5 corrosion category and very high (vh) durability
Make 3D drawing of the transformer and to be  checked on the Terna 420kV pedestal (no DW colloision or cable glands)
ZIS 617506_Rev00 - Benennung: Hinweisschild INAIL/instruction plate INAIL
ZHS 617613_Rev00 - Benennung: Hinweisschild TYP / Instruction plate TYPE
ZMB - additional information:
Dm : 455,5 mm
kD :  1,271
kCF :  1,278  
kA :  1,009
BVCC :  242,5 kV
RSCD :  37,8 mm/kV
SSCD :  61,94 mm/kV
- add screenshot for insolator drawing profile showing diameters of the insulator with silicone layer and sheeds + profile dimensions
- Information about manufacturer of the insulator (name)
- Anbringungsstelle für ZIS 617506_Rev00 - "Hinweisschild INAIL" kennzeichnen
</v>
      </c>
      <c r="B139" s="828"/>
      <c r="C139" s="828"/>
      <c r="D139" s="828"/>
      <c r="E139" s="828"/>
      <c r="F139" s="828"/>
      <c r="G139" s="828"/>
      <c r="H139" s="829"/>
    </row>
    <row r="140" spans="1:8" x14ac:dyDescent="0.2">
      <c r="A140" s="830"/>
      <c r="B140" s="831"/>
      <c r="C140" s="831"/>
      <c r="D140" s="831"/>
      <c r="E140" s="831"/>
      <c r="F140" s="831"/>
      <c r="G140" s="831"/>
      <c r="H140" s="831"/>
    </row>
    <row r="141" spans="1:8" x14ac:dyDescent="0.2">
      <c r="D141"/>
    </row>
    <row r="142" spans="1:8" x14ac:dyDescent="0.2">
      <c r="D142"/>
    </row>
    <row r="143" spans="1:8" x14ac:dyDescent="0.2">
      <c r="D143"/>
    </row>
    <row r="144" spans="1:8" x14ac:dyDescent="0.2">
      <c r="D144"/>
    </row>
    <row r="145" spans="4:4" x14ac:dyDescent="0.2">
      <c r="D145"/>
    </row>
    <row r="146" spans="4:4" x14ac:dyDescent="0.2">
      <c r="D146"/>
    </row>
    <row r="147" spans="4:4" x14ac:dyDescent="0.2">
      <c r="D147"/>
    </row>
    <row r="148" spans="4:4" x14ac:dyDescent="0.2">
      <c r="D148"/>
    </row>
    <row r="149" spans="4:4" x14ac:dyDescent="0.2">
      <c r="D149"/>
    </row>
    <row r="150" spans="4:4" x14ac:dyDescent="0.2">
      <c r="D150"/>
    </row>
    <row r="151" spans="4:4" x14ac:dyDescent="0.2">
      <c r="D151"/>
    </row>
    <row r="152" spans="4:4" x14ac:dyDescent="0.2">
      <c r="D152"/>
    </row>
    <row r="153" spans="4:4" x14ac:dyDescent="0.2">
      <c r="D153"/>
    </row>
    <row r="154" spans="4:4" x14ac:dyDescent="0.2">
      <c r="D154"/>
    </row>
    <row r="155" spans="4:4" x14ac:dyDescent="0.2">
      <c r="D155"/>
    </row>
    <row r="156" spans="4:4" x14ac:dyDescent="0.2">
      <c r="D156"/>
    </row>
    <row r="157" spans="4:4" x14ac:dyDescent="0.2">
      <c r="D157"/>
    </row>
    <row r="158" spans="4:4" x14ac:dyDescent="0.2">
      <c r="D158"/>
    </row>
    <row r="159" spans="4:4" x14ac:dyDescent="0.2">
      <c r="D159"/>
    </row>
    <row r="160" spans="4:4" x14ac:dyDescent="0.2">
      <c r="D160"/>
    </row>
    <row r="161" spans="4:4" x14ac:dyDescent="0.2">
      <c r="D161"/>
    </row>
    <row r="162" spans="4:4" x14ac:dyDescent="0.2">
      <c r="D162"/>
    </row>
    <row r="163" spans="4:4" x14ac:dyDescent="0.2">
      <c r="D163"/>
    </row>
    <row r="164" spans="4:4" x14ac:dyDescent="0.2">
      <c r="D164"/>
    </row>
    <row r="165" spans="4:4" x14ac:dyDescent="0.2">
      <c r="D165"/>
    </row>
    <row r="166" spans="4:4" x14ac:dyDescent="0.2">
      <c r="D166"/>
    </row>
    <row r="167" spans="4:4" x14ac:dyDescent="0.2">
      <c r="D167"/>
    </row>
    <row r="168" spans="4:4" x14ac:dyDescent="0.2">
      <c r="D168"/>
    </row>
    <row r="169" spans="4:4" x14ac:dyDescent="0.2">
      <c r="D169"/>
    </row>
    <row r="170" spans="4:4" x14ac:dyDescent="0.2">
      <c r="D170"/>
    </row>
    <row r="171" spans="4:4" x14ac:dyDescent="0.2">
      <c r="D171"/>
    </row>
    <row r="172" spans="4:4" x14ac:dyDescent="0.2">
      <c r="D172"/>
    </row>
    <row r="173" spans="4:4" x14ac:dyDescent="0.2">
      <c r="D173"/>
    </row>
    <row r="174" spans="4:4" x14ac:dyDescent="0.2">
      <c r="D174"/>
    </row>
    <row r="175" spans="4:4" x14ac:dyDescent="0.2">
      <c r="D175"/>
    </row>
    <row r="176" spans="4:4" x14ac:dyDescent="0.2">
      <c r="D176"/>
    </row>
    <row r="177" spans="4:4" x14ac:dyDescent="0.2">
      <c r="D177"/>
    </row>
    <row r="178" spans="4:4" x14ac:dyDescent="0.2">
      <c r="D178"/>
    </row>
    <row r="179" spans="4:4" x14ac:dyDescent="0.2">
      <c r="D179"/>
    </row>
    <row r="180" spans="4:4" x14ac:dyDescent="0.2">
      <c r="D180"/>
    </row>
    <row r="181" spans="4:4" x14ac:dyDescent="0.2">
      <c r="D181"/>
    </row>
    <row r="182" spans="4:4" x14ac:dyDescent="0.2">
      <c r="D182"/>
    </row>
    <row r="183" spans="4:4" x14ac:dyDescent="0.2">
      <c r="D183"/>
    </row>
  </sheetData>
  <sheetProtection algorithmName="SHA-512" hashValue="53NssJ19lk3LBlCtGamrBBLBoL+NCNWxuLJrpdHNOYKu904OYL0R0c14HspKqkgIRbACvavTjF2g/OE8YgDmyA==" saltValue="+CrON+Oxv2smoYIZ1UoSeg==" spinCount="100000" sheet="1" objects="1" scenarios="1" formatCells="0" formatColumns="0" formatRows="0" deleteColumns="0" deleteRows="0"/>
  <protectedRanges>
    <protectedRange algorithmName="SHA-512" hashValue="EgCYtjO6oQEyex2u7nYRfqHNYwhkJ3NiRgcNkBkIHeJRB5y0+p1pdswx5fH5ToYdpTmkYLmx2IqiqPHxcF5WxA==" saltValue="Szg8G6fLfwBw5prKcgXBAw==" spinCount="100000" sqref="D105:H128" name="Bereich1"/>
    <protectedRange algorithmName="SHA-512" hashValue="t8QqAo9+I7nOErhD9iMJjqnsMn71/5p/umNBAz7900BZFXgBrhxNb5Tpzi2Cdmkqy5FXodxbKu+71xG4D22bbA==" saltValue="15vf5qjl1seifzcRaTQWNQ==" spinCount="100000" sqref="D130:H131" name="Bereich2"/>
    <protectedRange algorithmName="SHA-512" hashValue="bH9gETOfKsxQ0dRWA/aFvNYIAP/PI66KIEhRnzvyDXghOyZML7Wy6ICWrrCeuNh1lpUz1VTm/BQB9L9Z+vwJeg==" saltValue="p52J8hHv6fZPZ2iyOpizAQ==" spinCount="100000" sqref="A139" name="Bereich3"/>
    <protectedRange algorithmName="SHA-512" hashValue="1VqpZRi2qUCEfAIyFjjAJqQlLC5HOXHOTIDkNMVLTKA2wPkqgLtiesyehF7XPY8cFEcF945KryXDO66yKHb1UQ==" saltValue="zlbpSEMB0G0Kr8f9JbQx4A==" spinCount="100000" sqref="D73:H76" name="Bereich4"/>
    <protectedRange algorithmName="SHA-512" hashValue="tDeytnuVYmMRVr4nllgZBTULKl6MfkJpZoi7APBVz4yK9+Rq/dzsUPZlXr8q3KCYvWxnJC/fzm2BDUEldaYa5w==" saltValue="KWRIXL8Vsg+07z4ScdAQFA==" spinCount="100000" sqref="A51:H69" name="Bereich5"/>
    <protectedRange algorithmName="SHA-512" hashValue="nY7AjzzjKo634/3grf2DlYoN2owO/jIGHKQ/Suu7HSxWtF1E17ruyeOxdTl4lwujpDDiSrgA/a8F7ctptZTJcA==" saltValue="53OT/qr9Hujdr2MOLtyMpQ==" spinCount="100000" sqref="A3:H44" name="Bereich6"/>
  </protectedRanges>
  <mergeCells count="19">
    <mergeCell ref="A5:B5"/>
    <mergeCell ref="A19:G19"/>
    <mergeCell ref="A27:G27"/>
    <mergeCell ref="A38:G38"/>
    <mergeCell ref="F42:G42"/>
    <mergeCell ref="A46:G46"/>
    <mergeCell ref="A25:H25"/>
    <mergeCell ref="A99:H100"/>
    <mergeCell ref="A139:H139"/>
    <mergeCell ref="A140:H140"/>
    <mergeCell ref="A134:G134"/>
    <mergeCell ref="A68:H69"/>
    <mergeCell ref="A101:G101"/>
    <mergeCell ref="A105:B105"/>
    <mergeCell ref="A106:B106"/>
    <mergeCell ref="A76:B76"/>
    <mergeCell ref="A113:C113"/>
    <mergeCell ref="A114:C114"/>
    <mergeCell ref="A116:C116"/>
  </mergeCells>
  <conditionalFormatting sqref="A45:G48 A71:G75 A76:A77 C76:G77 A51:G53 A55:G57">
    <cfRule type="expression" dxfId="305" priority="2">
      <formula>#REF!="n.a."</formula>
    </cfRule>
  </conditionalFormatting>
  <conditionalFormatting sqref="B58:G58 A49:A50">
    <cfRule type="expression" dxfId="304" priority="1">
      <formula>#REF!="n.a."</formula>
    </cfRule>
  </conditionalFormatting>
  <pageMargins left="0.70866141732283472" right="0.70866141732283472" top="0.74803149606299213" bottom="0.74803149606299213" header="0.31496062992125984" footer="0.31496062992125984"/>
  <pageSetup paperSize="9" scale="63" fitToHeight="0" orientation="portrait" horizontalDpi="300" verticalDpi="300" r:id="rId1"/>
  <headerFooter>
    <oddHeader>&amp;C&amp;G&amp;R&amp;D</oddHeader>
    <oddFooter>&amp;C&amp;P</oddFoot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B346A4-2753-445A-965A-D3854C5F7033}">
  <sheetPr>
    <pageSetUpPr fitToPage="1"/>
  </sheetPr>
  <dimension ref="A1:H118"/>
  <sheetViews>
    <sheetView view="pageBreakPreview" topLeftCell="A90" zoomScaleNormal="100" zoomScaleSheetLayoutView="100" workbookViewId="0">
      <selection activeCell="G5" sqref="G5:H5"/>
    </sheetView>
  </sheetViews>
  <sheetFormatPr baseColWidth="10" defaultRowHeight="14.25" x14ac:dyDescent="0.2"/>
  <sheetData>
    <row r="1" spans="1:8" x14ac:dyDescent="0.2">
      <c r="D1" s="9"/>
    </row>
    <row r="2" spans="1:8" x14ac:dyDescent="0.2">
      <c r="D2" s="9"/>
    </row>
    <row r="3" spans="1:8" x14ac:dyDescent="0.2">
      <c r="D3" s="9"/>
    </row>
    <row r="4" spans="1:8" ht="15" x14ac:dyDescent="0.25">
      <c r="A4" s="386" t="s">
        <v>1717</v>
      </c>
      <c r="C4" s="386" t="str">
        <f>'DB GIF'!J4</f>
        <v>2022-0879</v>
      </c>
      <c r="D4" s="9"/>
    </row>
    <row r="5" spans="1:8" ht="15" x14ac:dyDescent="0.25">
      <c r="A5" s="840" t="s">
        <v>1718</v>
      </c>
      <c r="B5" s="841"/>
      <c r="C5" s="386" t="str">
        <f>'DB GIF'!C6</f>
        <v xml:space="preserve">HVDC LINK Terna </v>
      </c>
      <c r="D5" s="9"/>
      <c r="F5" s="316"/>
      <c r="G5" s="316"/>
    </row>
    <row r="6" spans="1:8" x14ac:dyDescent="0.2">
      <c r="A6" s="387" t="s">
        <v>1275</v>
      </c>
      <c r="B6" s="316"/>
      <c r="C6" s="316" t="s">
        <v>1719</v>
      </c>
      <c r="D6" s="388"/>
      <c r="E6" s="387">
        <f>'DB GIF'!D53/1000</f>
        <v>0</v>
      </c>
      <c r="F6" s="316" t="s">
        <v>1183</v>
      </c>
      <c r="G6" s="316"/>
    </row>
    <row r="7" spans="1:8" x14ac:dyDescent="0.2">
      <c r="A7" s="316" t="s">
        <v>1185</v>
      </c>
      <c r="B7" s="316"/>
      <c r="C7" s="316">
        <f>'DB GIF'!C4</f>
        <v>0</v>
      </c>
      <c r="D7" s="388"/>
      <c r="F7" s="389"/>
      <c r="G7" s="389"/>
    </row>
    <row r="8" spans="1:8" x14ac:dyDescent="0.2">
      <c r="A8" s="390"/>
      <c r="B8" s="78"/>
      <c r="C8" s="78"/>
      <c r="D8" s="141"/>
      <c r="E8" s="78"/>
      <c r="F8" s="78"/>
      <c r="G8" s="78"/>
    </row>
    <row r="9" spans="1:8" x14ac:dyDescent="0.2">
      <c r="A9" s="387" t="s">
        <v>1191</v>
      </c>
      <c r="B9" s="78"/>
      <c r="C9" s="78"/>
      <c r="D9" s="141"/>
      <c r="E9" s="78"/>
      <c r="F9" s="78" t="str">
        <f>'DB GIF'!I5</f>
        <v>SAS 420 TERNA Type B</v>
      </c>
      <c r="G9" s="78"/>
    </row>
    <row r="10" spans="1:8" x14ac:dyDescent="0.2">
      <c r="A10" s="316" t="s">
        <v>1194</v>
      </c>
      <c r="B10" s="78"/>
      <c r="C10" s="78"/>
      <c r="D10" s="141"/>
      <c r="E10" s="78"/>
      <c r="F10" s="78" t="str">
        <f>'DB GIF'!G22</f>
        <v>IEC 61869-2</v>
      </c>
      <c r="G10" s="78"/>
    </row>
    <row r="11" spans="1:8" x14ac:dyDescent="0.2">
      <c r="A11" t="s">
        <v>1720</v>
      </c>
      <c r="F11">
        <f>'DB GIF'!C22</f>
        <v>0</v>
      </c>
    </row>
    <row r="13" spans="1:8" x14ac:dyDescent="0.2">
      <c r="A13" s="78"/>
      <c r="B13" s="78"/>
      <c r="C13" s="78"/>
      <c r="D13" s="141"/>
      <c r="E13" s="78"/>
      <c r="F13" s="78"/>
      <c r="G13" s="78"/>
    </row>
    <row r="14" spans="1:8" x14ac:dyDescent="0.2">
      <c r="A14" s="78"/>
      <c r="B14" s="78"/>
      <c r="C14" s="78"/>
      <c r="D14" s="141"/>
      <c r="E14" s="78"/>
      <c r="F14" s="78"/>
      <c r="G14" s="78"/>
    </row>
    <row r="15" spans="1:8" x14ac:dyDescent="0.2">
      <c r="A15" s="316" t="s">
        <v>1197</v>
      </c>
      <c r="B15" s="78"/>
      <c r="C15" s="78"/>
      <c r="D15" s="141"/>
      <c r="E15" s="78"/>
      <c r="F15" s="316" t="str">
        <f>IF(OR('DB GIF'!E119="100% SF6",'DB GIF'!E119="Clean Air"),'DB GIF'!E119,"Mixture")</f>
        <v>100% SF6</v>
      </c>
      <c r="G15" s="410"/>
      <c r="H15" s="2"/>
    </row>
    <row r="16" spans="1:8" x14ac:dyDescent="0.2">
      <c r="A16" s="316" t="s">
        <v>1202</v>
      </c>
      <c r="B16" s="78"/>
      <c r="C16" s="78"/>
      <c r="D16" s="141"/>
      <c r="E16" s="78"/>
      <c r="F16" s="392" t="str">
        <f>'DB GIF'!E124</f>
        <v>0,1% / p.a.</v>
      </c>
      <c r="G16" s="78"/>
    </row>
    <row r="17" spans="1:8" x14ac:dyDescent="0.2">
      <c r="A17" s="319" t="s">
        <v>1721</v>
      </c>
      <c r="B17" s="308"/>
      <c r="C17" s="308"/>
      <c r="D17" s="310"/>
      <c r="E17" s="308"/>
      <c r="F17" s="319" t="str">
        <f>'DB GIF'!D28</f>
        <v>Spez. Kundenforderung =&gt; Kommentarfeld</v>
      </c>
      <c r="G17" s="308"/>
      <c r="H17" s="311"/>
    </row>
    <row r="18" spans="1:8" x14ac:dyDescent="0.2">
      <c r="A18" s="316"/>
      <c r="B18" s="78"/>
      <c r="C18" s="78"/>
      <c r="D18" s="141"/>
      <c r="E18" s="78"/>
      <c r="F18" s="78"/>
      <c r="G18" s="78"/>
    </row>
    <row r="19" spans="1:8" x14ac:dyDescent="0.2">
      <c r="A19" s="822" t="s">
        <v>1206</v>
      </c>
      <c r="B19" s="822"/>
      <c r="C19" s="822"/>
      <c r="D19" s="822"/>
      <c r="E19" s="822"/>
      <c r="F19" s="822"/>
      <c r="G19" s="822"/>
    </row>
    <row r="20" spans="1:8" x14ac:dyDescent="0.2">
      <c r="A20" s="311"/>
      <c r="B20" s="308"/>
      <c r="C20" s="308"/>
      <c r="D20" s="310"/>
      <c r="E20" s="308"/>
      <c r="F20" s="308"/>
      <c r="G20" s="308"/>
      <c r="H20" s="311"/>
    </row>
    <row r="21" spans="1:8" x14ac:dyDescent="0.2">
      <c r="A21" s="316" t="s">
        <v>1210</v>
      </c>
      <c r="B21" s="78"/>
      <c r="C21" s="78"/>
      <c r="D21" s="141"/>
      <c r="E21" s="141" t="s">
        <v>1211</v>
      </c>
      <c r="F21" s="141">
        <f>'DB GIF'!J23</f>
        <v>1000</v>
      </c>
      <c r="G21" s="78"/>
    </row>
    <row r="22" spans="1:8" x14ac:dyDescent="0.2">
      <c r="A22" s="316" t="s">
        <v>1212</v>
      </c>
      <c r="B22" s="78"/>
      <c r="C22" s="78"/>
      <c r="D22" s="141"/>
      <c r="E22" s="141" t="s">
        <v>1213</v>
      </c>
      <c r="F22" s="141" t="str">
        <f>'DB GIF'!C26</f>
        <v>- 25° Celsius</v>
      </c>
      <c r="G22" s="78"/>
    </row>
    <row r="23" spans="1:8" x14ac:dyDescent="0.2">
      <c r="A23" s="316" t="s">
        <v>1215</v>
      </c>
      <c r="B23" s="78"/>
      <c r="C23" s="78"/>
      <c r="D23" s="141"/>
      <c r="E23" s="141" t="s">
        <v>1213</v>
      </c>
      <c r="F23" s="141" t="str">
        <f>'DB GIF'!G26</f>
        <v>50° Celsius</v>
      </c>
      <c r="G23" s="78"/>
    </row>
    <row r="24" spans="1:8" x14ac:dyDescent="0.2">
      <c r="A24" s="316" t="s">
        <v>1768</v>
      </c>
      <c r="B24" s="78"/>
      <c r="C24" s="78"/>
      <c r="D24" s="141"/>
      <c r="E24" s="141"/>
      <c r="F24" s="141"/>
      <c r="G24" s="78"/>
    </row>
    <row r="25" spans="1:8" x14ac:dyDescent="0.2">
      <c r="A25" s="823" t="str">
        <f>IF('DB GIF'!C29="","",'DB GIF'!C29)</f>
        <v>isolator must be from Shemar in material HTV with ATH &gt;45%.
in the ZMB write: 13,3kN Long., 8,4kN trasv., 6 kN vert..write a note next to these values --&gt;  IT: I valori indicati sono da considerarsi provvisori e potranno essere rivisti in base agli esiti delle prove di tipo EN: The provided values are provisional and may be revised based on the outcomes of the type tests.
SIL auf das Leistungsschild</v>
      </c>
      <c r="B25" s="824"/>
      <c r="C25" s="824"/>
      <c r="D25" s="824"/>
      <c r="E25" s="824"/>
      <c r="F25" s="824"/>
      <c r="G25" s="824"/>
      <c r="H25" s="824"/>
    </row>
    <row r="26" spans="1:8" x14ac:dyDescent="0.2">
      <c r="A26" s="304"/>
      <c r="B26" s="304"/>
      <c r="C26" s="304"/>
      <c r="D26" s="307"/>
      <c r="E26" s="304"/>
      <c r="F26" s="304"/>
      <c r="G26" s="304"/>
    </row>
    <row r="27" spans="1:8" x14ac:dyDescent="0.2">
      <c r="A27" s="822" t="s">
        <v>1222</v>
      </c>
      <c r="B27" s="822"/>
      <c r="C27" s="822"/>
      <c r="D27" s="822"/>
      <c r="E27" s="822"/>
      <c r="F27" s="822"/>
      <c r="G27" s="822"/>
    </row>
    <row r="28" spans="1:8" x14ac:dyDescent="0.2">
      <c r="A28" s="78"/>
      <c r="B28" s="78"/>
      <c r="C28" s="78"/>
      <c r="D28" s="141"/>
      <c r="E28" s="78"/>
      <c r="F28" s="78"/>
      <c r="G28" s="78"/>
      <c r="H28" s="311"/>
    </row>
    <row r="29" spans="1:8" x14ac:dyDescent="0.2">
      <c r="A29" s="318" t="s">
        <v>1226</v>
      </c>
      <c r="B29" s="318"/>
      <c r="C29" s="318"/>
      <c r="D29" s="318"/>
      <c r="E29" s="307" t="s">
        <v>1227</v>
      </c>
      <c r="F29" s="307">
        <f>'DB GIF'!D23</f>
        <v>420</v>
      </c>
      <c r="G29" s="304"/>
    </row>
    <row r="30" spans="1:8" x14ac:dyDescent="0.2">
      <c r="A30" s="316" t="s">
        <v>1229</v>
      </c>
      <c r="B30" s="316"/>
      <c r="C30" s="316"/>
      <c r="D30" s="316"/>
      <c r="E30" s="141" t="s">
        <v>1230</v>
      </c>
      <c r="F30" s="141">
        <f>'DB GIF'!G23</f>
        <v>50</v>
      </c>
      <c r="G30" s="78"/>
    </row>
    <row r="31" spans="1:8" x14ac:dyDescent="0.2">
      <c r="A31" s="316" t="s">
        <v>1233</v>
      </c>
      <c r="B31" s="316"/>
      <c r="C31" s="316"/>
      <c r="D31" s="316"/>
      <c r="E31" s="141" t="s">
        <v>1227</v>
      </c>
      <c r="F31" s="141">
        <f>'DB GIF'!G24</f>
        <v>680</v>
      </c>
      <c r="G31" s="78"/>
    </row>
    <row r="32" spans="1:8" x14ac:dyDescent="0.2">
      <c r="A32" s="316" t="s">
        <v>1235</v>
      </c>
      <c r="B32" s="316"/>
      <c r="C32" s="316"/>
      <c r="D32" s="316"/>
      <c r="E32" s="141" t="s">
        <v>1227</v>
      </c>
      <c r="F32" s="141">
        <f>'DB GIF'!G25</f>
        <v>3</v>
      </c>
      <c r="G32" s="78"/>
    </row>
    <row r="33" spans="1:8" x14ac:dyDescent="0.2">
      <c r="A33" s="316" t="s">
        <v>1237</v>
      </c>
      <c r="B33" s="316"/>
      <c r="C33" s="316"/>
      <c r="D33" s="316"/>
      <c r="E33" s="141" t="s">
        <v>1227</v>
      </c>
      <c r="F33" s="141" t="str">
        <f>'DB GIF'!J25</f>
        <v>-</v>
      </c>
      <c r="G33" s="141" t="s">
        <v>1137</v>
      </c>
    </row>
    <row r="34" spans="1:8" x14ac:dyDescent="0.2">
      <c r="A34" s="316" t="s">
        <v>1239</v>
      </c>
      <c r="B34" s="316"/>
      <c r="C34" s="316"/>
      <c r="D34" s="316"/>
      <c r="E34" s="141" t="s">
        <v>1227</v>
      </c>
      <c r="F34" s="141" t="str">
        <f>'DB GIF'!D24</f>
        <v>1550 kV</v>
      </c>
      <c r="G34" s="393"/>
    </row>
    <row r="35" spans="1:8" x14ac:dyDescent="0.2">
      <c r="A35" s="316" t="s">
        <v>1241</v>
      </c>
      <c r="B35" s="316"/>
      <c r="C35" s="316"/>
      <c r="D35" s="316"/>
      <c r="E35" s="141" t="s">
        <v>1227</v>
      </c>
      <c r="F35" s="141" t="str">
        <f>'DB GIF'!J24</f>
        <v>1175 kV</v>
      </c>
      <c r="G35" s="78"/>
    </row>
    <row r="36" spans="1:8" x14ac:dyDescent="0.2">
      <c r="A36" s="319" t="s">
        <v>1268</v>
      </c>
      <c r="B36" s="319"/>
      <c r="C36" s="319"/>
      <c r="D36" s="319"/>
      <c r="E36" s="310" t="s">
        <v>1227</v>
      </c>
      <c r="F36" s="310">
        <f>'DB GIF'!C25</f>
        <v>0</v>
      </c>
      <c r="G36" s="308"/>
      <c r="H36" s="311"/>
    </row>
    <row r="37" spans="1:8" x14ac:dyDescent="0.2">
      <c r="D37" s="9"/>
    </row>
    <row r="38" spans="1:8" x14ac:dyDescent="0.2">
      <c r="A38" s="822" t="s">
        <v>1184</v>
      </c>
      <c r="B38" s="822"/>
      <c r="C38" s="822"/>
      <c r="D38" s="822"/>
      <c r="E38" s="822"/>
      <c r="F38" s="822"/>
      <c r="G38" s="822"/>
    </row>
    <row r="39" spans="1:8" x14ac:dyDescent="0.2">
      <c r="A39" s="311"/>
      <c r="B39" s="311"/>
      <c r="C39" s="311"/>
      <c r="D39" s="384"/>
      <c r="E39" s="311"/>
      <c r="F39" s="311"/>
      <c r="G39" s="394"/>
      <c r="H39" s="311"/>
    </row>
    <row r="40" spans="1:8" x14ac:dyDescent="0.2">
      <c r="A40" s="305"/>
      <c r="B40" s="305"/>
      <c r="C40" s="305"/>
      <c r="D40" s="385"/>
      <c r="E40" s="305"/>
      <c r="F40" s="305"/>
      <c r="G40" s="305"/>
      <c r="H40" s="305"/>
    </row>
    <row r="41" spans="1:8" x14ac:dyDescent="0.2">
      <c r="A41" s="316" t="s">
        <v>1186</v>
      </c>
      <c r="B41" s="78"/>
      <c r="C41" s="78"/>
      <c r="D41" s="306"/>
      <c r="E41" s="78"/>
      <c r="F41" s="316" t="s">
        <v>1187</v>
      </c>
      <c r="G41" s="395"/>
    </row>
    <row r="42" spans="1:8" ht="15" x14ac:dyDescent="0.25">
      <c r="A42" s="316" t="s">
        <v>1189</v>
      </c>
      <c r="B42" s="316"/>
      <c r="C42" s="316"/>
      <c r="D42" s="316"/>
      <c r="E42" s="141" t="s">
        <v>1190</v>
      </c>
      <c r="F42" s="836" t="str">
        <f>'DB GIF'!G27</f>
        <v>43,3 (25) [RUSCD(SCD)]</v>
      </c>
      <c r="G42" s="839"/>
    </row>
    <row r="43" spans="1:8" x14ac:dyDescent="0.2">
      <c r="A43" t="s">
        <v>1192</v>
      </c>
      <c r="E43" t="s">
        <v>1193</v>
      </c>
      <c r="F43" t="str">
        <f>IF('[3]DB GIF'!J27=0,"-",'[3]DB GIF'!J27)</f>
        <v>-</v>
      </c>
    </row>
    <row r="44" spans="1:8" x14ac:dyDescent="0.2">
      <c r="A44" s="396"/>
      <c r="B44" s="311"/>
      <c r="C44" s="308"/>
      <c r="D44" s="310"/>
      <c r="E44" s="308"/>
      <c r="F44" s="308"/>
      <c r="G44" s="308"/>
      <c r="H44" s="311"/>
    </row>
    <row r="45" spans="1:8" x14ac:dyDescent="0.2">
      <c r="A45" s="2"/>
      <c r="B45" s="2"/>
      <c r="C45" s="2"/>
      <c r="D45" s="2"/>
      <c r="E45" s="2"/>
      <c r="F45" s="2"/>
      <c r="G45" s="2"/>
    </row>
    <row r="46" spans="1:8" x14ac:dyDescent="0.2">
      <c r="A46" s="822" t="s">
        <v>1247</v>
      </c>
      <c r="B46" s="822"/>
      <c r="C46" s="822"/>
      <c r="D46" s="822"/>
      <c r="E46" s="822"/>
      <c r="F46" s="822"/>
      <c r="G46" s="822"/>
    </row>
    <row r="47" spans="1:8" x14ac:dyDescent="0.2">
      <c r="A47" s="308"/>
      <c r="B47" s="308"/>
      <c r="C47" s="308"/>
      <c r="D47" s="310"/>
      <c r="E47" s="308"/>
      <c r="F47" s="308"/>
      <c r="G47" s="308"/>
      <c r="H47" s="311"/>
    </row>
    <row r="48" spans="1:8" x14ac:dyDescent="0.2">
      <c r="A48" s="78"/>
      <c r="B48" s="78"/>
      <c r="C48" s="78"/>
      <c r="D48" s="141"/>
      <c r="E48" s="78"/>
      <c r="F48" s="78"/>
      <c r="G48" s="78"/>
    </row>
    <row r="49" spans="1:8" x14ac:dyDescent="0.2">
      <c r="A49" s="78"/>
      <c r="B49" s="78"/>
      <c r="C49" s="78"/>
      <c r="D49" s="141"/>
      <c r="E49" s="78"/>
      <c r="F49" s="78"/>
      <c r="G49" s="78"/>
    </row>
    <row r="50" spans="1:8" x14ac:dyDescent="0.2">
      <c r="A50" s="78"/>
      <c r="B50" s="78"/>
      <c r="C50" s="78"/>
      <c r="D50" s="141"/>
      <c r="E50" s="78"/>
      <c r="F50" s="78"/>
      <c r="G50" s="78"/>
    </row>
    <row r="51" spans="1:8" ht="15" x14ac:dyDescent="0.25">
      <c r="A51" s="386" t="s">
        <v>1722</v>
      </c>
      <c r="D51" s="9"/>
    </row>
    <row r="52" spans="1:8" x14ac:dyDescent="0.2">
      <c r="A52" s="2"/>
      <c r="D52" s="9"/>
    </row>
    <row r="53" spans="1:8" x14ac:dyDescent="0.2">
      <c r="A53" s="316" t="s">
        <v>1253</v>
      </c>
      <c r="B53" s="78" t="s">
        <v>1254</v>
      </c>
      <c r="C53" s="78"/>
      <c r="D53" s="141"/>
      <c r="E53" s="78"/>
      <c r="F53" s="316">
        <f>'DB GIF'!J52</f>
        <v>0</v>
      </c>
      <c r="G53" s="141"/>
    </row>
    <row r="54" spans="1:8" x14ac:dyDescent="0.2">
      <c r="A54" s="316"/>
      <c r="B54" s="78" t="s">
        <v>1256</v>
      </c>
      <c r="C54" s="78"/>
      <c r="D54" s="141"/>
      <c r="E54" s="78"/>
      <c r="F54" s="316">
        <f>'DB GIF'!J59</f>
        <v>0</v>
      </c>
      <c r="G54" s="141"/>
    </row>
    <row r="55" spans="1:8" x14ac:dyDescent="0.2">
      <c r="A55" s="316" t="s">
        <v>1303</v>
      </c>
      <c r="B55" s="78"/>
      <c r="C55" s="397"/>
      <c r="D55" s="141"/>
      <c r="E55" s="141" t="s">
        <v>1259</v>
      </c>
      <c r="F55" s="398">
        <f>'DB GIF'!D53</f>
        <v>0</v>
      </c>
      <c r="G55" s="78"/>
    </row>
    <row r="56" spans="1:8" x14ac:dyDescent="0.2">
      <c r="A56" s="316" t="s">
        <v>1759</v>
      </c>
      <c r="B56" s="78"/>
      <c r="C56" s="397"/>
      <c r="D56" s="141"/>
      <c r="E56" s="141" t="s">
        <v>1205</v>
      </c>
      <c r="F56" s="398" t="str">
        <f>IF('DB GIF'!A53="nicht erf.","",'DB GIF'!A53)</f>
        <v/>
      </c>
      <c r="G56" s="78"/>
    </row>
    <row r="57" spans="1:8" x14ac:dyDescent="0.2">
      <c r="A57" s="316"/>
      <c r="B57" s="78"/>
      <c r="C57" s="397"/>
      <c r="D57" s="141"/>
      <c r="E57" s="141"/>
      <c r="F57" s="398"/>
      <c r="G57" s="78"/>
    </row>
    <row r="58" spans="1:8" x14ac:dyDescent="0.2">
      <c r="A58" s="316"/>
      <c r="B58" s="78"/>
      <c r="C58" s="397"/>
      <c r="D58" s="141"/>
      <c r="E58" s="141"/>
      <c r="F58" s="398"/>
      <c r="G58" s="78"/>
    </row>
    <row r="59" spans="1:8" x14ac:dyDescent="0.2">
      <c r="A59" s="316"/>
      <c r="B59" s="78"/>
      <c r="C59" s="397"/>
      <c r="D59" s="141"/>
      <c r="E59" s="141"/>
      <c r="F59" s="399"/>
      <c r="G59" s="78"/>
    </row>
    <row r="60" spans="1:8" x14ac:dyDescent="0.2">
      <c r="B60" s="78"/>
      <c r="C60" s="78"/>
      <c r="D60" s="141"/>
      <c r="E60" s="141"/>
      <c r="F60" s="399"/>
      <c r="G60" s="78"/>
    </row>
    <row r="61" spans="1:8" ht="24" x14ac:dyDescent="0.2">
      <c r="B61" s="400" t="s">
        <v>1723</v>
      </c>
      <c r="C61" s="400" t="s">
        <v>1724</v>
      </c>
      <c r="D61" s="400" t="s">
        <v>1725</v>
      </c>
      <c r="E61" s="400" t="s">
        <v>1726</v>
      </c>
      <c r="F61" s="400" t="s">
        <v>1727</v>
      </c>
      <c r="G61" s="401" t="s">
        <v>1728</v>
      </c>
      <c r="H61" s="309"/>
    </row>
    <row r="62" spans="1:8" ht="36" x14ac:dyDescent="0.2">
      <c r="A62" s="402" t="s">
        <v>1729</v>
      </c>
      <c r="B62" s="403" t="str">
        <f>IF('DB GIF'!D53="","",'DB GIF'!D53)</f>
        <v/>
      </c>
      <c r="C62" s="403" t="str">
        <f>IF('DB GIF'!E53="","",'DB GIF'!E53)</f>
        <v/>
      </c>
      <c r="D62" s="403" t="str">
        <f>IF('DB GIF'!F53="","",'DB GIF'!F53)</f>
        <v/>
      </c>
      <c r="E62" s="403" t="str">
        <f>IF('DB GIF'!G53="","",'DB GIF'!G53)</f>
        <v/>
      </c>
      <c r="F62" s="403" t="str">
        <f>IF('DB GIF'!H53="","",'DB GIF'!H53)</f>
        <v/>
      </c>
      <c r="G62" s="403" t="str">
        <f>IF('DB GIF'!I53="","",'DB GIF'!I53)</f>
        <v/>
      </c>
      <c r="H62" s="309"/>
    </row>
    <row r="63" spans="1:8" ht="36" x14ac:dyDescent="0.2">
      <c r="A63" s="402" t="s">
        <v>1730</v>
      </c>
      <c r="B63" s="403" t="str">
        <f>IF('DB GIF'!D55="","",'DB GIF'!D55)</f>
        <v/>
      </c>
      <c r="C63" s="403" t="str">
        <f>IF('DB GIF'!E55="","",'DB GIF'!E55)</f>
        <v/>
      </c>
      <c r="D63" s="403" t="str">
        <f>IF('DB GIF'!F55="","",'DB GIF'!F55)</f>
        <v/>
      </c>
      <c r="E63" s="403" t="str">
        <f>IF('DB GIF'!G55="","",'DB GIF'!G55)</f>
        <v/>
      </c>
      <c r="F63" s="403" t="str">
        <f>IF('DB GIF'!H55="","",'DB GIF'!H55)</f>
        <v/>
      </c>
      <c r="G63" s="403" t="str">
        <f>IF('DB GIF'!I55="","",'DB GIF'!I55)</f>
        <v/>
      </c>
      <c r="H63" s="309"/>
    </row>
    <row r="64" spans="1:8" ht="24" x14ac:dyDescent="0.2">
      <c r="A64" s="402" t="s">
        <v>1731</v>
      </c>
      <c r="B64" s="403" t="str">
        <f>IF('DB GIF'!D57="","",'DB GIF'!D57)</f>
        <v/>
      </c>
      <c r="C64" s="403" t="str">
        <f>IF('DB GIF'!E57="","",'DB GIF'!E57)</f>
        <v/>
      </c>
      <c r="D64" s="403" t="str">
        <f>IF('DB GIF'!F57="","",'DB GIF'!F57)</f>
        <v/>
      </c>
      <c r="E64" s="403" t="str">
        <f>IF('DB GIF'!G57="","",'DB GIF'!G57)</f>
        <v/>
      </c>
      <c r="F64" s="403" t="str">
        <f>IF('DB GIF'!H57="","",'DB GIF'!H57)</f>
        <v/>
      </c>
      <c r="G64" s="403" t="str">
        <f>IF('DB GIF'!I57="","",'DB GIF'!I57)</f>
        <v/>
      </c>
      <c r="H64" s="309"/>
    </row>
    <row r="65" spans="1:8" x14ac:dyDescent="0.2">
      <c r="A65" s="402" t="s">
        <v>1262</v>
      </c>
      <c r="B65" s="403" t="str">
        <f>IF('DB GIF'!D59="","",'DB GIF'!D59)</f>
        <v/>
      </c>
      <c r="C65" s="403" t="str">
        <f>IF('DB GIF'!E59="","",'DB GIF'!E59)</f>
        <v/>
      </c>
      <c r="D65" s="403" t="str">
        <f>IF('DB GIF'!F59="","",'DB GIF'!F59)</f>
        <v/>
      </c>
      <c r="E65" s="403" t="str">
        <f>IF('DB GIF'!G59="","",'DB GIF'!G59)</f>
        <v/>
      </c>
      <c r="F65" s="403" t="str">
        <f>IF('DB GIF'!H59="","",'DB GIF'!H59)</f>
        <v/>
      </c>
      <c r="G65" s="403" t="str">
        <f>IF('DB GIF'!I59="","",'DB GIF'!I59)</f>
        <v/>
      </c>
      <c r="H65" s="309"/>
    </row>
    <row r="66" spans="1:8" ht="36" x14ac:dyDescent="0.2">
      <c r="A66" s="402" t="s">
        <v>1732</v>
      </c>
      <c r="B66" s="403" t="str">
        <f>IF('DB GIF'!D60="","",'DB GIF'!D60)</f>
        <v/>
      </c>
      <c r="C66" s="403" t="str">
        <f>IF('DB GIF'!E60="","",'DB GIF'!E60)</f>
        <v/>
      </c>
      <c r="D66" s="403" t="str">
        <f>IF('DB GIF'!F60="","",'DB GIF'!F60)</f>
        <v/>
      </c>
      <c r="E66" s="403" t="str">
        <f>IF('DB GIF'!G60="","",'DB GIF'!G60)</f>
        <v/>
      </c>
      <c r="F66" s="403" t="str">
        <f>IF('DB GIF'!H60="","",'DB GIF'!H60)</f>
        <v/>
      </c>
      <c r="G66" s="403" t="str">
        <f>IF('DB GIF'!I60="","",'DB GIF'!I60)</f>
        <v/>
      </c>
      <c r="H66" s="309"/>
    </row>
    <row r="67" spans="1:8" x14ac:dyDescent="0.2">
      <c r="A67" s="402" t="s">
        <v>14</v>
      </c>
      <c r="B67" s="403" t="str">
        <f>IF('DB GIF'!D61="","",'DB GIF'!D61)</f>
        <v/>
      </c>
      <c r="C67" s="403" t="str">
        <f>IF('DB GIF'!E61="","",'DB GIF'!E61)</f>
        <v/>
      </c>
      <c r="D67" s="403" t="str">
        <f>IF('DB GIF'!F61="","",'DB GIF'!F61)</f>
        <v/>
      </c>
      <c r="E67" s="403" t="str">
        <f>IF('DB GIF'!G61="","",'DB GIF'!G61)</f>
        <v/>
      </c>
      <c r="F67" s="403" t="str">
        <f>IF('DB GIF'!H61="","",'DB GIF'!H61)</f>
        <v/>
      </c>
      <c r="G67" s="403" t="str">
        <f>IF('DB GIF'!I61="","",'DB GIF'!I61)</f>
        <v/>
      </c>
      <c r="H67" s="309"/>
    </row>
    <row r="68" spans="1:8" ht="24" x14ac:dyDescent="0.2">
      <c r="A68" s="402" t="s">
        <v>1733</v>
      </c>
      <c r="B68" s="24" t="str">
        <f>IF('[3]DB GIF'!D62="","",'[3]DB GIF'!D62)</f>
        <v/>
      </c>
      <c r="C68" s="24" t="str">
        <f>IF('[3]DB GIF'!E62="","",'[3]DB GIF'!E62)</f>
        <v/>
      </c>
      <c r="D68" s="24" t="str">
        <f>IF('[3]DB GIF'!F62="","",'[3]DB GIF'!F62)</f>
        <v/>
      </c>
      <c r="E68" s="24" t="str">
        <f>IF('[3]DB GIF'!G62="","",'[3]DB GIF'!G62)</f>
        <v/>
      </c>
      <c r="F68" s="24" t="str">
        <f>IF('[3]DB GIF'!H62="","",'[3]DB GIF'!H62)</f>
        <v/>
      </c>
      <c r="G68" s="24" t="str">
        <f>IF('[3]DB GIF'!I62="","",'[3]DB GIF'!I62)</f>
        <v/>
      </c>
      <c r="H68" s="309"/>
    </row>
    <row r="69" spans="1:8" x14ac:dyDescent="0.2">
      <c r="A69" s="404" t="s">
        <v>1734</v>
      </c>
      <c r="H69" s="411"/>
    </row>
    <row r="70" spans="1:8" x14ac:dyDescent="0.2">
      <c r="A70" s="833" t="str">
        <f>IF('DB GIF'!A67="","",'DB GIF'!A67)</f>
        <v/>
      </c>
      <c r="B70" s="834"/>
      <c r="C70" s="834"/>
      <c r="D70" s="834"/>
      <c r="E70" s="834"/>
      <c r="F70" s="834"/>
      <c r="G70" s="834"/>
      <c r="H70" s="834"/>
    </row>
    <row r="71" spans="1:8" x14ac:dyDescent="0.2">
      <c r="A71" s="831"/>
      <c r="B71" s="831"/>
      <c r="C71" s="831"/>
      <c r="D71" s="831"/>
      <c r="E71" s="831"/>
      <c r="F71" s="831"/>
      <c r="G71" s="831"/>
      <c r="H71" s="831"/>
    </row>
    <row r="72" spans="1:8" x14ac:dyDescent="0.2">
      <c r="A72" s="305"/>
      <c r="B72" s="305"/>
      <c r="C72" s="305"/>
      <c r="D72" s="385"/>
      <c r="E72" s="305"/>
      <c r="F72" s="305"/>
      <c r="G72" s="305"/>
      <c r="H72" s="305"/>
    </row>
    <row r="73" spans="1:8" x14ac:dyDescent="0.2">
      <c r="D73" s="9"/>
    </row>
    <row r="74" spans="1:8" x14ac:dyDescent="0.2">
      <c r="A74" s="822" t="s">
        <v>1270</v>
      </c>
      <c r="B74" s="835"/>
      <c r="C74" s="835"/>
      <c r="D74" s="835"/>
      <c r="E74" s="835"/>
      <c r="F74" s="835"/>
      <c r="G74" s="835"/>
    </row>
    <row r="75" spans="1:8" x14ac:dyDescent="0.2">
      <c r="A75" s="311"/>
      <c r="B75" s="311"/>
      <c r="C75" s="311"/>
      <c r="D75" s="311"/>
      <c r="E75" s="311"/>
      <c r="F75" s="311"/>
      <c r="G75" s="311"/>
      <c r="H75" s="311"/>
    </row>
    <row r="76" spans="1:8" x14ac:dyDescent="0.2">
      <c r="A76" s="836" t="s">
        <v>1199</v>
      </c>
      <c r="B76" s="836"/>
      <c r="C76" s="316"/>
      <c r="D76" s="406" t="str">
        <f>'DB GIF'!E151</f>
        <v>Other specification</v>
      </c>
      <c r="E76" s="78"/>
      <c r="F76" s="78"/>
      <c r="G76" s="78"/>
    </row>
    <row r="77" spans="1:8" x14ac:dyDescent="0.2">
      <c r="A77" s="836" t="s">
        <v>1201</v>
      </c>
      <c r="B77" s="836"/>
      <c r="C77" s="316"/>
      <c r="D77" s="406" t="str">
        <f>'DB GIF'!E152</f>
        <v>Other specification</v>
      </c>
      <c r="E77" s="78"/>
      <c r="F77" s="78"/>
      <c r="G77" s="78"/>
    </row>
    <row r="78" spans="1:8" x14ac:dyDescent="0.2">
      <c r="A78" s="316" t="s">
        <v>1752</v>
      </c>
      <c r="B78" s="316"/>
      <c r="C78" s="316"/>
      <c r="D78" s="406"/>
      <c r="E78" s="78"/>
      <c r="F78" s="78"/>
      <c r="G78" s="78"/>
    </row>
    <row r="79" spans="1:8" x14ac:dyDescent="0.2">
      <c r="A79" s="316" t="s">
        <v>1765</v>
      </c>
      <c r="B79" s="316"/>
      <c r="C79" s="316"/>
      <c r="D79" s="406" t="str">
        <f>IF('DB GIF'!C140="Nicht gefordert / not specified","n.a.",'DB GIF'!C140)</f>
        <v>Eingebaut / mounted</v>
      </c>
      <c r="E79" s="78" t="str">
        <f>IF('DB GIF'!E141="","",'DB GIF'!E141)</f>
        <v>8xM25  cableglands for cables having diameter ø 12 ÷ 16 mm 
4 for the secondary and 4 for the density meter</v>
      </c>
      <c r="F79" s="78"/>
      <c r="G79" s="78"/>
    </row>
    <row r="80" spans="1:8" x14ac:dyDescent="0.2">
      <c r="A80" s="316"/>
      <c r="B80" s="316"/>
      <c r="C80" s="316"/>
      <c r="D80" s="406"/>
      <c r="E80" s="78"/>
      <c r="F80" s="78"/>
      <c r="G80" s="78"/>
    </row>
    <row r="81" spans="1:7" x14ac:dyDescent="0.2">
      <c r="A81" s="316" t="s">
        <v>1766</v>
      </c>
      <c r="B81" s="316"/>
      <c r="C81" s="316"/>
      <c r="D81" s="406" t="str">
        <f>IF('DB GIF'!E138="Nein","No","Yes")</f>
        <v>Yes</v>
      </c>
      <c r="E81" s="78"/>
      <c r="F81" s="78"/>
      <c r="G81" s="78"/>
    </row>
    <row r="82" spans="1:7" x14ac:dyDescent="0.2">
      <c r="A82" s="316" t="s">
        <v>1753</v>
      </c>
      <c r="B82" s="316"/>
      <c r="C82" s="316"/>
      <c r="D82" s="406" t="str">
        <f>IF('DB GIF'!E137="Ja","Yes","No")</f>
        <v>No</v>
      </c>
      <c r="E82" s="78" t="str" cm="1">
        <f t="array" ref="E82:F82">IF('DB GIF'!J137:K137="","",'DB GIF'!J137:K137)</f>
        <v/>
      </c>
      <c r="F82" s="78" t="str">
        <v/>
      </c>
      <c r="G82" s="78"/>
    </row>
    <row r="83" spans="1:7" x14ac:dyDescent="0.2">
      <c r="A83" s="78" t="s">
        <v>1263</v>
      </c>
      <c r="B83" s="78"/>
      <c r="C83" s="78"/>
      <c r="D83" s="406" t="str">
        <f>'DB GIF'!E129</f>
        <v>Phoenix UK16N</v>
      </c>
      <c r="F83" s="78"/>
      <c r="G83" s="78"/>
    </row>
    <row r="84" spans="1:7" x14ac:dyDescent="0.2">
      <c r="A84" s="836" t="s">
        <v>1264</v>
      </c>
      <c r="B84" s="836"/>
      <c r="C84" s="316"/>
      <c r="D84" s="406" t="str">
        <f>'DB GIF'!E130</f>
        <v>Phoenix UK6N</v>
      </c>
      <c r="E84" s="78"/>
      <c r="F84" s="78"/>
      <c r="G84" s="78"/>
    </row>
    <row r="85" spans="1:7" x14ac:dyDescent="0.2">
      <c r="A85" s="836" t="s">
        <v>1265</v>
      </c>
      <c r="B85" s="836"/>
      <c r="C85" s="316"/>
      <c r="D85" s="406" t="str">
        <f>'DB GIF'!E108</f>
        <v>mit / with transmitter</v>
      </c>
      <c r="E85" s="78"/>
      <c r="F85" s="78"/>
      <c r="G85" s="78" t="str">
        <f>IF('DB GIF'!J108="keine Auswahl","",'DB GIF'!J108)</f>
        <v>4-20mA</v>
      </c>
    </row>
    <row r="86" spans="1:7" x14ac:dyDescent="0.2">
      <c r="A86" s="316" t="s">
        <v>1754</v>
      </c>
      <c r="B86" s="316"/>
      <c r="C86" s="316"/>
      <c r="D86" s="407">
        <f>'DB GIF'!E109</f>
        <v>0</v>
      </c>
      <c r="E86" s="78"/>
      <c r="F86" s="78"/>
      <c r="G86" s="78"/>
    </row>
    <row r="87" spans="1:7" x14ac:dyDescent="0.2">
      <c r="A87" s="836" t="s">
        <v>1272</v>
      </c>
      <c r="B87" s="836"/>
      <c r="C87" s="316"/>
      <c r="D87" s="78" t="s">
        <v>1207</v>
      </c>
      <c r="E87" s="316">
        <f>'DB GIF'!E110</f>
        <v>2</v>
      </c>
      <c r="F87" s="78"/>
      <c r="G87" s="78"/>
    </row>
    <row r="88" spans="1:7" x14ac:dyDescent="0.2">
      <c r="A88" s="387"/>
      <c r="B88" s="387"/>
      <c r="C88" s="387"/>
      <c r="D88" s="78" t="s">
        <v>1208</v>
      </c>
      <c r="E88" s="78" t="str">
        <f>'DB GIF'!E115</f>
        <v>Wechslend / change over</v>
      </c>
      <c r="F88" s="78"/>
      <c r="G88" s="78"/>
    </row>
    <row r="89" spans="1:7" x14ac:dyDescent="0.2">
      <c r="A89" s="316" t="s">
        <v>1266</v>
      </c>
      <c r="B89" s="387"/>
      <c r="C89" s="387"/>
      <c r="D89" s="406" t="str">
        <f>IF('DB GIF'!E111="Ja","Yes","No")</f>
        <v>Yes</v>
      </c>
      <c r="E89" s="78"/>
      <c r="F89" s="78"/>
      <c r="G89" s="78"/>
    </row>
    <row r="90" spans="1:7" x14ac:dyDescent="0.2">
      <c r="A90" s="316" t="s">
        <v>1767</v>
      </c>
      <c r="B90" s="387"/>
      <c r="C90" s="387"/>
      <c r="D90" s="406" t="str">
        <f>IF('DB GIF'!E113="Ja","Yes","No")</f>
        <v>Yes</v>
      </c>
      <c r="E90" s="78"/>
      <c r="F90" s="78"/>
      <c r="G90" s="78"/>
    </row>
    <row r="91" spans="1:7" x14ac:dyDescent="0.2">
      <c r="A91" s="316" t="s">
        <v>1267</v>
      </c>
      <c r="B91" s="387"/>
      <c r="C91" s="387"/>
      <c r="D91" s="406" t="str">
        <f>IF('DB GIF'!E112="Ja","Yes","No")</f>
        <v>No</v>
      </c>
      <c r="E91" s="78"/>
      <c r="F91" s="78"/>
      <c r="G91" s="78"/>
    </row>
    <row r="92" spans="1:7" ht="15" x14ac:dyDescent="0.25">
      <c r="A92" s="316" t="s">
        <v>1214</v>
      </c>
      <c r="B92" s="386"/>
      <c r="C92" s="386"/>
      <c r="D92" s="406" t="str">
        <f>'DB GIF'!E123</f>
        <v>DN8</v>
      </c>
      <c r="F92" s="78"/>
      <c r="G92" s="406"/>
    </row>
    <row r="93" spans="1:7" ht="15" x14ac:dyDescent="0.25">
      <c r="A93" s="316" t="s">
        <v>1755</v>
      </c>
      <c r="B93" s="386"/>
      <c r="C93" s="386"/>
      <c r="D93" s="406" t="str">
        <f>IF('DB GIF'!E133="Nein","No","Yes")</f>
        <v>No</v>
      </c>
      <c r="E93" t="str">
        <f>IF('DB GIF'!G134="","",'DB GIF'!G134)</f>
        <v/>
      </c>
      <c r="F93" s="78"/>
      <c r="G93" s="406"/>
    </row>
    <row r="94" spans="1:7" ht="15" x14ac:dyDescent="0.25">
      <c r="A94" s="316" t="s">
        <v>1756</v>
      </c>
      <c r="B94" s="386"/>
      <c r="C94" s="386"/>
      <c r="D94" s="406" t="str">
        <f>IF('DB GIF'!E131="Nein","No","Yes")</f>
        <v>No</v>
      </c>
      <c r="F94" s="78"/>
      <c r="G94" s="406"/>
    </row>
    <row r="95" spans="1:7" x14ac:dyDescent="0.2">
      <c r="A95" t="s">
        <v>1217</v>
      </c>
      <c r="D95" t="str">
        <f>IF('DB GIF'!E132="Nein","No","Yes")</f>
        <v>No</v>
      </c>
    </row>
    <row r="96" spans="1:7" x14ac:dyDescent="0.2">
      <c r="A96" t="s">
        <v>1223</v>
      </c>
      <c r="D96" t="s">
        <v>1220</v>
      </c>
      <c r="E96" t="str">
        <f>IF('[3]DB GIF'!E143="Alu silber &amp; schwarze Schrift","Alu with black font","")</f>
        <v>Alu with black font</v>
      </c>
    </row>
    <row r="98" spans="1:8" x14ac:dyDescent="0.2">
      <c r="A98" t="s">
        <v>1232</v>
      </c>
      <c r="D98" s="2" t="s">
        <v>1769</v>
      </c>
    </row>
    <row r="99" spans="1:8" x14ac:dyDescent="0.2">
      <c r="D99" t="str">
        <f>IF('DB GIF'!G149="keine Lackierung gefordert","n.a.",'DB GIF'!G149)</f>
        <v>RAL 9010 - 216950 (120-240µm)</v>
      </c>
    </row>
    <row r="100" spans="1:8" x14ac:dyDescent="0.2">
      <c r="A100" s="2" t="s">
        <v>1734</v>
      </c>
    </row>
    <row r="101" spans="1:8" x14ac:dyDescent="0.2">
      <c r="A101" s="78" t="s">
        <v>1757</v>
      </c>
      <c r="B101" s="78"/>
      <c r="C101" s="78"/>
      <c r="D101" s="78" t="str">
        <f>'DB GIF'!G142</f>
        <v>Italienisch</v>
      </c>
    </row>
    <row r="102" spans="1:8" x14ac:dyDescent="0.2">
      <c r="A102" s="78" t="s">
        <v>1758</v>
      </c>
      <c r="B102" s="78"/>
      <c r="C102" s="78"/>
      <c r="D102" s="78" t="str">
        <f>'DB GIF'!E155</f>
        <v>Italienisch</v>
      </c>
    </row>
    <row r="103" spans="1:8" x14ac:dyDescent="0.2">
      <c r="A103" s="78"/>
      <c r="B103" s="78"/>
      <c r="C103" s="78"/>
      <c r="D103" s="78"/>
    </row>
    <row r="104" spans="1:8" x14ac:dyDescent="0.2">
      <c r="A104" s="78"/>
      <c r="B104" s="78"/>
      <c r="C104" s="78"/>
      <c r="D104" s="78"/>
    </row>
    <row r="105" spans="1:8" x14ac:dyDescent="0.2">
      <c r="A105" s="78"/>
      <c r="B105" s="78"/>
      <c r="C105" s="78"/>
      <c r="D105" s="78"/>
    </row>
    <row r="106" spans="1:8" x14ac:dyDescent="0.2">
      <c r="A106" s="78"/>
      <c r="B106" s="78"/>
      <c r="C106" s="78"/>
      <c r="D106" s="78"/>
    </row>
    <row r="107" spans="1:8" x14ac:dyDescent="0.2">
      <c r="D107" s="9"/>
    </row>
    <row r="108" spans="1:8" x14ac:dyDescent="0.2">
      <c r="D108" s="9"/>
    </row>
    <row r="109" spans="1:8" x14ac:dyDescent="0.2">
      <c r="D109" s="9"/>
    </row>
    <row r="110" spans="1:8" x14ac:dyDescent="0.2">
      <c r="D110" s="9"/>
    </row>
    <row r="111" spans="1:8" x14ac:dyDescent="0.2">
      <c r="A111" s="305"/>
      <c r="B111" s="305"/>
      <c r="C111" s="305"/>
      <c r="D111" s="305"/>
      <c r="E111" s="305"/>
      <c r="F111" s="305"/>
      <c r="G111" s="305"/>
      <c r="H111" s="305"/>
    </row>
    <row r="112" spans="1:8" ht="15" x14ac:dyDescent="0.25">
      <c r="A112" s="832" t="s">
        <v>1243</v>
      </c>
      <c r="B112" s="832"/>
      <c r="C112" s="832"/>
      <c r="D112" s="832"/>
      <c r="E112" s="832"/>
      <c r="F112" s="832"/>
      <c r="G112" s="832"/>
    </row>
    <row r="113" spans="1:8" x14ac:dyDescent="0.2">
      <c r="A113" s="311"/>
      <c r="B113" s="311"/>
      <c r="C113" s="311"/>
      <c r="D113" s="311"/>
      <c r="E113" s="311"/>
      <c r="F113" s="311"/>
      <c r="G113" s="311"/>
      <c r="H113" s="311"/>
    </row>
    <row r="114" spans="1:8" x14ac:dyDescent="0.2">
      <c r="A114" s="389" t="s">
        <v>1246</v>
      </c>
    </row>
    <row r="116" spans="1:8" x14ac:dyDescent="0.2">
      <c r="A116" s="409" t="s">
        <v>1182</v>
      </c>
      <c r="B116" s="78"/>
      <c r="C116" s="78"/>
      <c r="D116" s="78"/>
      <c r="E116" s="78"/>
      <c r="F116" s="78"/>
      <c r="G116" s="78"/>
    </row>
    <row r="117" spans="1:8" x14ac:dyDescent="0.2">
      <c r="A117" s="827" t="str">
        <f>IF('DB GIF'!A160="","",'DB GIF'!A160)</f>
        <v xml:space="preserve">Note 1:  2xDN8 or in alternative  1xDN8 + 1xDN20 (Andreas Karl was thinking a 
solution to use SAS adapter (one DN20) and other DN20 or DN8 in the zwischenstuck 
Note 2: Double o-ring in alle the junctions ad per Terna specification on standard transformers. Adapter --&gt; Gaber 
Note 3:  On the outside of the secondary terminal box door there must be a plate, indelible and resistant to
atmospheric agents, showing the following information:
 connection diagrams of the secondary windings and those of the primary sections, if any,
in relation to the respective transformation ratios;
 connection diagram of the gas density control device, with indication of the gas relative
densities corresponding to the two intervention levels.
see example of what we did for Terna 
one big rating plate with LS and SS included see standard HQ rating plate. 
Note 4:  for the steel parts (foot)  in  80mm zinck.  The head castings must be painted on the outer surface only with a 9010 colour epoxy
coating according to the RAL classification in compliance with the UNI EN ISO 12944-2/5 Standards, with a C5 corrosion category and very high (vh) durability
Make 3D drawing of the transformer and to be  checked on the Terna 420kV pedestal (no DW colloision or cable glands)
ZIS 617506_Rev00 - Benennung: Hinweisschild INAIL/instruction plate INAIL
ZHS 617613_Rev00 - Benennung: Hinweisschild TYP / Instruction plate TYPE
ZMB - additional information:
Dm : 455,5 mm
kD :  1,271
kCF :  1,278  
kA :  1,009
BVCC :  242,5 kV
RSCD :  37,8 mm/kV
SSCD :  61,94 mm/kV
- add screenshot for insolator drawing profile showing diameters of the insulator with silicone layer and sheeds + profile dimensions
- Information about manufacturer of the insulator (name)
- Anbringungsstelle für ZIS 617506_Rev00 - "Hinweisschild INAIL" kennzeichnen
</v>
      </c>
      <c r="B117" s="828"/>
      <c r="C117" s="828"/>
      <c r="D117" s="828"/>
      <c r="E117" s="828"/>
      <c r="F117" s="828"/>
      <c r="G117" s="828"/>
      <c r="H117" s="829"/>
    </row>
    <row r="118" spans="1:8" x14ac:dyDescent="0.2">
      <c r="A118" s="830"/>
      <c r="B118" s="831"/>
      <c r="C118" s="831"/>
      <c r="D118" s="831"/>
      <c r="E118" s="831"/>
      <c r="F118" s="831"/>
      <c r="G118" s="831"/>
      <c r="H118" s="831"/>
    </row>
  </sheetData>
  <sheetProtection algorithmName="SHA-512" hashValue="f1TtF+qTDdLeWH2DRbu8akDSgj7xfxNH0SCcm/c2hS41qqXudgvIwlKD3NLwaOntrRmSp287WUTClTJCBFJ1dg==" saltValue="hrBETm1x/V3edkL5rsEE0Q==" spinCount="100000" sheet="1" objects="1" scenarios="1" formatCells="0" formatColumns="0" formatRows="0" deleteColumns="0" deleteRows="0"/>
  <mergeCells count="17">
    <mergeCell ref="A118:H118"/>
    <mergeCell ref="A46:G46"/>
    <mergeCell ref="A70:H71"/>
    <mergeCell ref="A74:G74"/>
    <mergeCell ref="A76:B76"/>
    <mergeCell ref="A77:B77"/>
    <mergeCell ref="A84:B84"/>
    <mergeCell ref="A85:B85"/>
    <mergeCell ref="A87:B87"/>
    <mergeCell ref="A112:G112"/>
    <mergeCell ref="A117:H117"/>
    <mergeCell ref="F42:G42"/>
    <mergeCell ref="A5:B5"/>
    <mergeCell ref="A19:G19"/>
    <mergeCell ref="A25:H25"/>
    <mergeCell ref="A27:G27"/>
    <mergeCell ref="A38:G38"/>
  </mergeCells>
  <conditionalFormatting sqref="A53:G59 A45:G50">
    <cfRule type="expression" dxfId="303" priority="2">
      <formula>#REF!="n.a."</formula>
    </cfRule>
  </conditionalFormatting>
  <conditionalFormatting sqref="B60:G60 A51:A52">
    <cfRule type="expression" dxfId="302" priority="1">
      <formula>#REF!="n.a."</formula>
    </cfRule>
  </conditionalFormatting>
  <pageMargins left="0.70866141732283472" right="0.70866141732283472" top="0.78740157480314965" bottom="0.78740157480314965" header="0.31496062992125984" footer="0.31496062992125984"/>
  <pageSetup paperSize="9" scale="60" fitToHeight="0" orientation="portrait" horizontalDpi="300" r:id="rId1"/>
  <headerFooter>
    <oddHeader>&amp;C&amp;G&amp;R&amp;D</oddHeader>
    <oddFooter>&amp;C&amp;P</oddFooter>
  </headerFooter>
  <legacyDrawing r:id="rId2"/>
  <legacyDrawingHF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0ABE6F-AAEC-4EF9-A234-40412496E2EC}">
  <sheetPr>
    <pageSetUpPr fitToPage="1"/>
  </sheetPr>
  <dimension ref="A4:H163"/>
  <sheetViews>
    <sheetView view="pageBreakPreview" zoomScaleNormal="100" zoomScaleSheetLayoutView="100" workbookViewId="0">
      <selection activeCell="A47" sqref="A47"/>
    </sheetView>
  </sheetViews>
  <sheetFormatPr baseColWidth="10" defaultColWidth="11" defaultRowHeight="14.25" x14ac:dyDescent="0.2"/>
  <cols>
    <col min="1" max="1" width="9.375" customWidth="1"/>
    <col min="2" max="2" width="10.375" customWidth="1"/>
    <col min="3" max="3" width="8.5" customWidth="1"/>
    <col min="4" max="4" width="10.375" style="9" customWidth="1"/>
    <col min="5" max="5" width="10.25" customWidth="1"/>
    <col min="6" max="6" width="11.375" customWidth="1"/>
    <col min="8" max="8" width="8.125" customWidth="1"/>
    <col min="9" max="9" width="10.25" customWidth="1"/>
    <col min="10" max="10" width="8.75" customWidth="1"/>
    <col min="11" max="12" width="9" customWidth="1"/>
  </cols>
  <sheetData>
    <row r="4" spans="1:8" ht="15" x14ac:dyDescent="0.25">
      <c r="A4" s="386" t="s">
        <v>1717</v>
      </c>
      <c r="C4" s="386" t="str">
        <f>'DB GIF'!J4</f>
        <v>2022-0879</v>
      </c>
    </row>
    <row r="5" spans="1:8" ht="15" x14ac:dyDescent="0.25">
      <c r="A5" s="840" t="s">
        <v>1718</v>
      </c>
      <c r="B5" s="841"/>
      <c r="C5" s="386" t="str">
        <f>'DB GIF'!C6</f>
        <v xml:space="preserve">HVDC LINK Terna </v>
      </c>
      <c r="F5" s="316"/>
      <c r="G5" s="316"/>
    </row>
    <row r="6" spans="1:8" x14ac:dyDescent="0.2">
      <c r="A6" s="387" t="s">
        <v>1275</v>
      </c>
      <c r="B6" s="316"/>
      <c r="C6" s="316" t="s">
        <v>1719</v>
      </c>
      <c r="D6" s="388"/>
      <c r="E6" s="387">
        <f>'DB GIF'!D53/1000</f>
        <v>0</v>
      </c>
      <c r="F6" s="316" t="s">
        <v>1183</v>
      </c>
      <c r="G6" s="316"/>
    </row>
    <row r="7" spans="1:8" x14ac:dyDescent="0.2">
      <c r="A7" s="316" t="s">
        <v>1185</v>
      </c>
      <c r="B7" s="316"/>
      <c r="C7" s="316">
        <f>'DB GIF'!C4</f>
        <v>0</v>
      </c>
      <c r="D7" s="388"/>
      <c r="F7" s="389"/>
      <c r="G7" s="389"/>
    </row>
    <row r="8" spans="1:8" x14ac:dyDescent="0.2">
      <c r="A8" s="390"/>
      <c r="B8" s="78"/>
      <c r="C8" s="78"/>
      <c r="D8" s="141"/>
      <c r="E8" s="78"/>
      <c r="F8" s="78"/>
      <c r="G8" s="78"/>
    </row>
    <row r="9" spans="1:8" x14ac:dyDescent="0.2">
      <c r="A9" s="387" t="s">
        <v>1191</v>
      </c>
      <c r="B9" s="78"/>
      <c r="C9" s="78"/>
      <c r="D9" s="141"/>
      <c r="E9" s="78"/>
      <c r="F9" s="78" t="str">
        <f>'DB GIF'!I5</f>
        <v>SAS 420 TERNA Type B</v>
      </c>
      <c r="G9" s="78"/>
    </row>
    <row r="10" spans="1:8" x14ac:dyDescent="0.2">
      <c r="A10" s="316" t="s">
        <v>1194</v>
      </c>
      <c r="B10" s="78"/>
      <c r="C10" s="78"/>
      <c r="D10" s="141"/>
      <c r="E10" s="78"/>
      <c r="F10" s="78" t="str">
        <f>'DB GIF'!G22</f>
        <v>IEC 61869-2</v>
      </c>
      <c r="G10" s="78"/>
    </row>
    <row r="11" spans="1:8" x14ac:dyDescent="0.2">
      <c r="A11" t="s">
        <v>1720</v>
      </c>
      <c r="D11"/>
      <c r="F11">
        <f>'DB GIF'!C22</f>
        <v>0</v>
      </c>
    </row>
    <row r="12" spans="1:8" x14ac:dyDescent="0.2">
      <c r="D12"/>
    </row>
    <row r="13" spans="1:8" x14ac:dyDescent="0.2">
      <c r="A13" s="78"/>
      <c r="B13" s="78"/>
      <c r="C13" s="78"/>
      <c r="D13" s="141"/>
      <c r="E13" s="78"/>
      <c r="F13" s="78"/>
      <c r="G13" s="78"/>
    </row>
    <row r="14" spans="1:8" x14ac:dyDescent="0.2">
      <c r="A14" s="78"/>
      <c r="B14" s="78"/>
      <c r="C14" s="78"/>
      <c r="D14" s="141"/>
      <c r="E14" s="78"/>
      <c r="F14" s="78"/>
      <c r="G14" s="78"/>
    </row>
    <row r="15" spans="1:8" x14ac:dyDescent="0.2">
      <c r="A15" s="316" t="s">
        <v>1197</v>
      </c>
      <c r="B15" s="78"/>
      <c r="C15" s="78"/>
      <c r="D15" s="141"/>
      <c r="E15" s="78"/>
      <c r="F15" s="316" t="str">
        <f>IF(OR('DB GIF'!E119="100% SF6",'DB GIF'!E119="Clean Air"),'DB GIF'!E119,"Mixture")</f>
        <v>100% SF6</v>
      </c>
      <c r="G15" s="410"/>
      <c r="H15" s="2"/>
    </row>
    <row r="16" spans="1:8" x14ac:dyDescent="0.2">
      <c r="A16" s="316" t="s">
        <v>1202</v>
      </c>
      <c r="B16" s="78"/>
      <c r="C16" s="78"/>
      <c r="D16" s="141"/>
      <c r="E16" s="78"/>
      <c r="F16" s="392" t="str">
        <f>'DB GIF'!E124</f>
        <v>0,1% / p.a.</v>
      </c>
      <c r="G16" s="78"/>
    </row>
    <row r="17" spans="1:8" x14ac:dyDescent="0.2">
      <c r="A17" s="319" t="s">
        <v>1721</v>
      </c>
      <c r="B17" s="308"/>
      <c r="C17" s="308"/>
      <c r="D17" s="310"/>
      <c r="E17" s="308"/>
      <c r="F17" s="319" t="str">
        <f>'DB GIF'!D28</f>
        <v>Spez. Kundenforderung =&gt; Kommentarfeld</v>
      </c>
      <c r="G17" s="308"/>
      <c r="H17" s="311"/>
    </row>
    <row r="18" spans="1:8" x14ac:dyDescent="0.2">
      <c r="A18" s="316"/>
      <c r="B18" s="78"/>
      <c r="C18" s="78"/>
      <c r="D18" s="141"/>
      <c r="E18" s="78"/>
      <c r="F18" s="78"/>
      <c r="G18" s="78"/>
    </row>
    <row r="19" spans="1:8" x14ac:dyDescent="0.2">
      <c r="A19" s="822" t="s">
        <v>1206</v>
      </c>
      <c r="B19" s="822"/>
      <c r="C19" s="822"/>
      <c r="D19" s="822"/>
      <c r="E19" s="822"/>
      <c r="F19" s="822"/>
      <c r="G19" s="822"/>
    </row>
    <row r="20" spans="1:8" x14ac:dyDescent="0.2">
      <c r="A20" s="311"/>
      <c r="B20" s="308"/>
      <c r="C20" s="308"/>
      <c r="D20" s="310"/>
      <c r="E20" s="308"/>
      <c r="F20" s="308"/>
      <c r="G20" s="308"/>
      <c r="H20" s="311"/>
    </row>
    <row r="21" spans="1:8" x14ac:dyDescent="0.2">
      <c r="A21" s="316" t="s">
        <v>1210</v>
      </c>
      <c r="B21" s="78"/>
      <c r="C21" s="78"/>
      <c r="D21" s="141"/>
      <c r="E21" s="141" t="s">
        <v>1211</v>
      </c>
      <c r="F21" s="141">
        <f>'DB GIF'!J23</f>
        <v>1000</v>
      </c>
      <c r="G21" s="78"/>
    </row>
    <row r="22" spans="1:8" x14ac:dyDescent="0.2">
      <c r="A22" s="316" t="s">
        <v>1212</v>
      </c>
      <c r="B22" s="78"/>
      <c r="C22" s="78"/>
      <c r="D22" s="141"/>
      <c r="E22" s="141" t="s">
        <v>1213</v>
      </c>
      <c r="F22" s="141" t="str">
        <f>'DB GIF'!C26</f>
        <v>- 25° Celsius</v>
      </c>
      <c r="G22" s="78"/>
    </row>
    <row r="23" spans="1:8" x14ac:dyDescent="0.2">
      <c r="A23" s="316" t="s">
        <v>1215</v>
      </c>
      <c r="B23" s="78"/>
      <c r="C23" s="78"/>
      <c r="D23" s="141"/>
      <c r="E23" s="141" t="s">
        <v>1213</v>
      </c>
      <c r="F23" s="141" t="str">
        <f>'DB GIF'!G26</f>
        <v>50° Celsius</v>
      </c>
      <c r="G23" s="78"/>
    </row>
    <row r="24" spans="1:8" x14ac:dyDescent="0.2">
      <c r="A24" s="316" t="s">
        <v>1768</v>
      </c>
      <c r="B24" s="78"/>
      <c r="C24" s="78"/>
      <c r="D24" s="141"/>
      <c r="E24" s="141"/>
      <c r="F24" s="141"/>
      <c r="G24" s="78"/>
    </row>
    <row r="25" spans="1:8" s="391" customFormat="1" x14ac:dyDescent="0.2">
      <c r="A25" s="823" t="str">
        <f>IF('DB GIF'!C29="","",'DB GIF'!C29)</f>
        <v>isolator must be from Shemar in material HTV with ATH &gt;45%.
in the ZMB write: 13,3kN Long., 8,4kN trasv., 6 kN vert..write a note next to these values --&gt;  IT: I valori indicati sono da considerarsi provvisori e potranno essere rivisti in base agli esiti delle prove di tipo EN: The provided values are provisional and may be revised based on the outcomes of the type tests.
SIL auf das Leistungsschild</v>
      </c>
      <c r="B25" s="824"/>
      <c r="C25" s="824"/>
      <c r="D25" s="824"/>
      <c r="E25" s="824"/>
      <c r="F25" s="824"/>
      <c r="G25" s="824"/>
      <c r="H25" s="824"/>
    </row>
    <row r="26" spans="1:8" x14ac:dyDescent="0.2">
      <c r="A26" s="304"/>
      <c r="B26" s="304"/>
      <c r="C26" s="304"/>
      <c r="D26" s="307"/>
      <c r="E26" s="304"/>
      <c r="F26" s="304"/>
      <c r="G26" s="304"/>
    </row>
    <row r="27" spans="1:8" x14ac:dyDescent="0.2">
      <c r="A27" s="822" t="s">
        <v>1222</v>
      </c>
      <c r="B27" s="822"/>
      <c r="C27" s="822"/>
      <c r="D27" s="822"/>
      <c r="E27" s="822"/>
      <c r="F27" s="822"/>
      <c r="G27" s="822"/>
    </row>
    <row r="28" spans="1:8" x14ac:dyDescent="0.2">
      <c r="A28" s="78"/>
      <c r="B28" s="78"/>
      <c r="C28" s="78"/>
      <c r="D28" s="141"/>
      <c r="E28" s="78"/>
      <c r="F28" s="78"/>
      <c r="G28" s="78"/>
      <c r="H28" s="311"/>
    </row>
    <row r="29" spans="1:8" x14ac:dyDescent="0.2">
      <c r="A29" s="318" t="s">
        <v>1226</v>
      </c>
      <c r="B29" s="318"/>
      <c r="C29" s="318"/>
      <c r="D29" s="318"/>
      <c r="E29" s="307" t="s">
        <v>1227</v>
      </c>
      <c r="F29" s="307">
        <f>'DB GIF'!D23</f>
        <v>420</v>
      </c>
      <c r="G29" s="304"/>
    </row>
    <row r="30" spans="1:8" x14ac:dyDescent="0.2">
      <c r="A30" s="316" t="s">
        <v>1229</v>
      </c>
      <c r="B30" s="316"/>
      <c r="C30" s="316"/>
      <c r="D30" s="316"/>
      <c r="E30" s="141" t="s">
        <v>1230</v>
      </c>
      <c r="F30" s="141">
        <f>'DB GIF'!G23</f>
        <v>50</v>
      </c>
      <c r="G30" s="78"/>
    </row>
    <row r="31" spans="1:8" x14ac:dyDescent="0.2">
      <c r="A31" s="316" t="s">
        <v>1233</v>
      </c>
      <c r="B31" s="316"/>
      <c r="C31" s="316"/>
      <c r="D31" s="316"/>
      <c r="E31" s="141" t="s">
        <v>1227</v>
      </c>
      <c r="F31" s="141">
        <f>'DB GIF'!G24</f>
        <v>680</v>
      </c>
      <c r="G31" s="78"/>
    </row>
    <row r="32" spans="1:8" x14ac:dyDescent="0.2">
      <c r="A32" s="316" t="s">
        <v>1235</v>
      </c>
      <c r="B32" s="316"/>
      <c r="C32" s="316"/>
      <c r="D32" s="316"/>
      <c r="E32" s="141" t="s">
        <v>1227</v>
      </c>
      <c r="F32" s="141">
        <f>'DB GIF'!G25</f>
        <v>3</v>
      </c>
      <c r="G32" s="78"/>
    </row>
    <row r="33" spans="1:8" x14ac:dyDescent="0.2">
      <c r="A33" s="316" t="s">
        <v>1237</v>
      </c>
      <c r="B33" s="316"/>
      <c r="C33" s="316"/>
      <c r="D33" s="316"/>
      <c r="E33" s="141" t="s">
        <v>1227</v>
      </c>
      <c r="F33" s="141" t="str">
        <f>'DB GIF'!J25</f>
        <v>-</v>
      </c>
      <c r="G33" s="141" t="s">
        <v>1137</v>
      </c>
    </row>
    <row r="34" spans="1:8" x14ac:dyDescent="0.2">
      <c r="A34" s="316" t="s">
        <v>1239</v>
      </c>
      <c r="B34" s="316"/>
      <c r="C34" s="316"/>
      <c r="D34" s="316"/>
      <c r="E34" s="141" t="s">
        <v>1227</v>
      </c>
      <c r="F34" s="141" t="str">
        <f>'DB GIF'!D24</f>
        <v>1550 kV</v>
      </c>
      <c r="G34" s="393"/>
    </row>
    <row r="35" spans="1:8" x14ac:dyDescent="0.2">
      <c r="A35" s="316" t="s">
        <v>1241</v>
      </c>
      <c r="B35" s="316"/>
      <c r="C35" s="316"/>
      <c r="D35" s="316"/>
      <c r="E35" s="141" t="s">
        <v>1227</v>
      </c>
      <c r="F35" s="141" t="str">
        <f>'DB GIF'!J24</f>
        <v>1175 kV</v>
      </c>
      <c r="G35" s="78"/>
    </row>
    <row r="36" spans="1:8" x14ac:dyDescent="0.2">
      <c r="A36" s="319" t="s">
        <v>1268</v>
      </c>
      <c r="B36" s="319"/>
      <c r="C36" s="319"/>
      <c r="D36" s="319"/>
      <c r="E36" s="310" t="s">
        <v>1227</v>
      </c>
      <c r="F36" s="310">
        <f>'DB GIF'!C25</f>
        <v>0</v>
      </c>
      <c r="G36" s="308"/>
      <c r="H36" s="311"/>
    </row>
    <row r="38" spans="1:8" x14ac:dyDescent="0.2">
      <c r="A38" s="822" t="s">
        <v>1184</v>
      </c>
      <c r="B38" s="822"/>
      <c r="C38" s="822"/>
      <c r="D38" s="822"/>
      <c r="E38" s="822"/>
      <c r="F38" s="822"/>
      <c r="G38" s="822"/>
    </row>
    <row r="39" spans="1:8" x14ac:dyDescent="0.2">
      <c r="A39" s="311"/>
      <c r="B39" s="311"/>
      <c r="C39" s="311"/>
      <c r="D39" s="384"/>
      <c r="E39" s="311"/>
      <c r="F39" s="311"/>
      <c r="G39" s="394"/>
      <c r="H39" s="311"/>
    </row>
    <row r="40" spans="1:8" x14ac:dyDescent="0.2">
      <c r="A40" s="305"/>
      <c r="B40" s="305"/>
      <c r="C40" s="305"/>
      <c r="D40" s="385"/>
      <c r="E40" s="305"/>
      <c r="F40" s="305"/>
      <c r="G40" s="305"/>
      <c r="H40" s="305"/>
    </row>
    <row r="41" spans="1:8" x14ac:dyDescent="0.2">
      <c r="A41" s="316" t="s">
        <v>1186</v>
      </c>
      <c r="B41" s="78"/>
      <c r="C41" s="78"/>
      <c r="D41" s="306"/>
      <c r="E41" s="78"/>
      <c r="F41" s="316" t="s">
        <v>1187</v>
      </c>
      <c r="G41" s="395"/>
    </row>
    <row r="42" spans="1:8" ht="15.95" customHeight="1" x14ac:dyDescent="0.25">
      <c r="A42" s="316" t="s">
        <v>1189</v>
      </c>
      <c r="B42" s="316"/>
      <c r="C42" s="316"/>
      <c r="D42" s="316"/>
      <c r="E42" s="141" t="s">
        <v>1190</v>
      </c>
      <c r="F42" s="836" t="str">
        <f>'DB GIF'!G27</f>
        <v>43,3 (25) [RUSCD(SCD)]</v>
      </c>
      <c r="G42" s="839"/>
    </row>
    <row r="43" spans="1:8" x14ac:dyDescent="0.2">
      <c r="A43" t="s">
        <v>1192</v>
      </c>
      <c r="D43"/>
      <c r="E43" t="s">
        <v>1193</v>
      </c>
      <c r="F43" t="str">
        <f>IF('[3]DB GIF'!J27=0,"-",'[3]DB GIF'!J27)</f>
        <v>-</v>
      </c>
    </row>
    <row r="44" spans="1:8" x14ac:dyDescent="0.2">
      <c r="A44" s="396"/>
      <c r="B44" s="311"/>
      <c r="C44" s="308"/>
      <c r="D44" s="310"/>
      <c r="E44" s="308"/>
      <c r="F44" s="308"/>
      <c r="G44" s="308"/>
      <c r="H44" s="311"/>
    </row>
    <row r="45" spans="1:8" x14ac:dyDescent="0.2">
      <c r="A45" s="2"/>
      <c r="B45" s="2"/>
      <c r="C45" s="2"/>
      <c r="D45" s="2"/>
      <c r="E45" s="2"/>
      <c r="F45" s="2"/>
      <c r="G45" s="2"/>
    </row>
    <row r="46" spans="1:8" x14ac:dyDescent="0.2">
      <c r="A46" s="822" t="s">
        <v>1247</v>
      </c>
      <c r="B46" s="822"/>
      <c r="C46" s="822"/>
      <c r="D46" s="822"/>
      <c r="E46" s="822"/>
      <c r="F46" s="822"/>
      <c r="G46" s="822"/>
    </row>
    <row r="47" spans="1:8" x14ac:dyDescent="0.2">
      <c r="A47" s="308"/>
      <c r="B47" s="308"/>
      <c r="C47" s="308"/>
      <c r="D47" s="310"/>
      <c r="E47" s="308"/>
      <c r="F47" s="308"/>
      <c r="G47" s="308"/>
      <c r="H47" s="311"/>
    </row>
    <row r="48" spans="1:8" x14ac:dyDescent="0.2">
      <c r="D48"/>
    </row>
    <row r="49" spans="1:8" ht="15" x14ac:dyDescent="0.25">
      <c r="A49" s="386" t="s">
        <v>1735</v>
      </c>
      <c r="B49" s="78"/>
      <c r="C49" s="78"/>
      <c r="D49" s="141"/>
      <c r="E49" s="141"/>
      <c r="F49" s="399"/>
      <c r="G49" s="78"/>
    </row>
    <row r="50" spans="1:8" x14ac:dyDescent="0.2">
      <c r="A50" s="2"/>
      <c r="B50" s="78"/>
      <c r="C50" s="78"/>
      <c r="D50" s="141"/>
      <c r="E50" s="141"/>
      <c r="F50" s="399"/>
      <c r="G50" s="78"/>
    </row>
    <row r="51" spans="1:8" x14ac:dyDescent="0.2">
      <c r="A51" s="404" t="s">
        <v>1760</v>
      </c>
      <c r="B51" s="78"/>
      <c r="C51" s="78" t="s">
        <v>1763</v>
      </c>
      <c r="D51" s="141" t="str">
        <f>'DB GIF'!A71</f>
        <v>3200 cont  -  3500 1h</v>
      </c>
      <c r="E51" s="141"/>
      <c r="F51" s="399"/>
      <c r="G51" s="78"/>
    </row>
    <row r="52" spans="1:8" x14ac:dyDescent="0.2">
      <c r="A52" s="404" t="s">
        <v>1761</v>
      </c>
      <c r="B52" s="78"/>
      <c r="C52" s="78" t="s">
        <v>1764</v>
      </c>
      <c r="D52" s="141" t="str">
        <f>'DB GIF'!A73</f>
        <v>63 kA / 1s</v>
      </c>
      <c r="E52" s="141"/>
      <c r="F52" s="399"/>
      <c r="G52" s="78"/>
    </row>
    <row r="53" spans="1:8" x14ac:dyDescent="0.2">
      <c r="A53" s="404" t="s">
        <v>613</v>
      </c>
      <c r="B53" s="78"/>
      <c r="C53" s="78" t="s">
        <v>1763</v>
      </c>
      <c r="D53" s="141" t="str">
        <f>'DB GIF'!A75</f>
        <v>160 kA</v>
      </c>
      <c r="E53" s="141"/>
      <c r="F53" s="399"/>
      <c r="G53" s="78"/>
    </row>
    <row r="54" spans="1:8" x14ac:dyDescent="0.2">
      <c r="A54" s="404"/>
      <c r="B54" s="78"/>
      <c r="C54" s="78"/>
      <c r="D54" s="141"/>
      <c r="E54" s="141"/>
      <c r="F54" s="399"/>
      <c r="G54" s="78"/>
    </row>
    <row r="55" spans="1:8" x14ac:dyDescent="0.2">
      <c r="A55" s="404"/>
      <c r="B55" s="78"/>
      <c r="C55" s="78"/>
      <c r="D55" s="141"/>
      <c r="E55" s="141"/>
      <c r="F55" s="399"/>
      <c r="G55" s="78"/>
    </row>
    <row r="56" spans="1:8" x14ac:dyDescent="0.2">
      <c r="A56" s="404"/>
      <c r="B56" s="78"/>
      <c r="C56" s="78"/>
      <c r="D56" s="141"/>
      <c r="E56" s="141"/>
      <c r="F56" s="399"/>
      <c r="G56" s="78"/>
    </row>
    <row r="57" spans="1:8" x14ac:dyDescent="0.2">
      <c r="A57" s="837" t="s">
        <v>1762</v>
      </c>
      <c r="B57" s="838"/>
      <c r="C57" s="78"/>
      <c r="D57" s="141" t="str">
        <f>IF('DB GIF'!A77="legt Berechnung fest","secondary taps","primary reconnection")</f>
        <v>secondary taps</v>
      </c>
      <c r="E57" s="141"/>
      <c r="F57" s="399"/>
      <c r="G57" s="78"/>
    </row>
    <row r="58" spans="1:8" x14ac:dyDescent="0.2">
      <c r="A58" s="404"/>
      <c r="C58" s="78"/>
      <c r="D58" s="141"/>
      <c r="E58" s="141"/>
      <c r="F58" s="399"/>
      <c r="G58" s="78"/>
    </row>
    <row r="59" spans="1:8" x14ac:dyDescent="0.2">
      <c r="B59" s="400" t="s">
        <v>1736</v>
      </c>
      <c r="C59" s="400" t="s">
        <v>1737</v>
      </c>
      <c r="D59" s="400" t="s">
        <v>1738</v>
      </c>
      <c r="E59" s="400" t="s">
        <v>1739</v>
      </c>
      <c r="F59" s="400" t="s">
        <v>1740</v>
      </c>
      <c r="G59" s="401" t="s">
        <v>1741</v>
      </c>
      <c r="H59" s="400" t="s">
        <v>1742</v>
      </c>
    </row>
    <row r="60" spans="1:8" ht="24" x14ac:dyDescent="0.2">
      <c r="A60" s="402" t="s">
        <v>1743</v>
      </c>
      <c r="B60" s="403">
        <f>IF('DB GIF'!D73="","",'DB GIF'!D73)</f>
        <v>0.2</v>
      </c>
      <c r="C60" s="403">
        <f>IF('DB GIF'!E73="","",'DB GIF'!E73)</f>
        <v>0.2</v>
      </c>
      <c r="D60" s="403" t="str">
        <f>IF('DB GIF'!F73="","",'DB GIF'!F73)</f>
        <v/>
      </c>
      <c r="E60" s="403" t="str">
        <f>IF('DB GIF'!G73="","",'DB GIF'!G73)</f>
        <v/>
      </c>
      <c r="F60" s="403" t="str">
        <f>IF('DB GIF'!H73="","",'DB GIF'!H73)</f>
        <v/>
      </c>
      <c r="G60" s="403" t="str">
        <f>IF('DB GIF'!I73="","",'DB GIF'!I73)</f>
        <v/>
      </c>
      <c r="H60" s="403" t="str">
        <f>IF('DB GIF'!J73="","",'DB GIF'!J73)</f>
        <v/>
      </c>
    </row>
    <row r="61" spans="1:8" ht="24" x14ac:dyDescent="0.2">
      <c r="A61" s="402" t="s">
        <v>1744</v>
      </c>
      <c r="B61" s="403">
        <f>IF('DB GIF'!D74="","",'DB GIF'!D74)</f>
        <v>1000</v>
      </c>
      <c r="C61" s="403">
        <f>IF('DB GIF'!E74="","",'DB GIF'!E74)</f>
        <v>1000</v>
      </c>
      <c r="D61" s="403" t="str">
        <f>IF('DB GIF'!F74="","",'DB GIF'!F74)</f>
        <v/>
      </c>
      <c r="E61" s="403" t="str">
        <f>IF('DB GIF'!G74="","",'DB GIF'!G74)</f>
        <v/>
      </c>
      <c r="F61" s="403" t="str">
        <f>IF('DB GIF'!H74="","",'DB GIF'!H74)</f>
        <v/>
      </c>
      <c r="G61" s="403" t="str">
        <f>IF('DB GIF'!I74="","",'DB GIF'!I74)</f>
        <v/>
      </c>
      <c r="H61" s="403" t="str">
        <f>IF('DB GIF'!J74="","",'DB GIF'!J74)</f>
        <v/>
      </c>
    </row>
    <row r="62" spans="1:8" ht="24" x14ac:dyDescent="0.2">
      <c r="A62" s="402" t="s">
        <v>1745</v>
      </c>
      <c r="B62" s="403" t="str">
        <f>IF('DB GIF'!D76="","",'DB GIF'!D76)</f>
        <v>5 A</v>
      </c>
      <c r="C62" s="403" t="str">
        <f>IF('DB GIF'!E76="","",'DB GIF'!E76)</f>
        <v>5 A</v>
      </c>
      <c r="D62" s="403" t="str">
        <f>IF('DB GIF'!F76="","",'DB GIF'!F76)</f>
        <v/>
      </c>
      <c r="E62" s="403" t="str">
        <f>IF('DB GIF'!G76="","",'DB GIF'!G76)</f>
        <v/>
      </c>
      <c r="F62" s="403" t="str">
        <f>IF('DB GIF'!H76="","",'DB GIF'!H76)</f>
        <v/>
      </c>
      <c r="G62" s="403" t="str">
        <f>IF('DB GIF'!I76="","",'DB GIF'!I76)</f>
        <v/>
      </c>
      <c r="H62" s="403" t="str">
        <f>IF('DB GIF'!J76="","",'DB GIF'!J76)</f>
        <v/>
      </c>
    </row>
    <row r="63" spans="1:8" x14ac:dyDescent="0.2">
      <c r="A63" s="402" t="s">
        <v>1746</v>
      </c>
      <c r="B63" s="403" t="str">
        <f>IF('DB GIF'!D79="","",'DB GIF'!D79)</f>
        <v/>
      </c>
      <c r="C63" s="403" t="str">
        <f>IF('DB GIF'!E79="","",'DB GIF'!E79)</f>
        <v/>
      </c>
      <c r="D63" s="403" t="str">
        <f>IF('DB GIF'!F79="","",'DB GIF'!F79)</f>
        <v/>
      </c>
      <c r="E63" s="403" t="str">
        <f>IF('DB GIF'!G79="","",'DB GIF'!G79)</f>
        <v/>
      </c>
      <c r="F63" s="403" t="str">
        <f>IF('DB GIF'!H79="","",'DB GIF'!H79)</f>
        <v/>
      </c>
      <c r="G63" s="403" t="str">
        <f>IF('DB GIF'!I79="","",'DB GIF'!I79)</f>
        <v/>
      </c>
      <c r="H63" s="403" t="str">
        <f>IF('DB GIF'!J79="","",'DB GIF'!J79)</f>
        <v/>
      </c>
    </row>
    <row r="64" spans="1:8" x14ac:dyDescent="0.2">
      <c r="A64" s="402" t="s">
        <v>1747</v>
      </c>
      <c r="B64" s="403" t="str">
        <f>IF('DB GIF'!D80="","",'DB GIF'!D80)</f>
        <v>60</v>
      </c>
      <c r="C64" s="403" t="str">
        <f>IF('DB GIF'!E80="","",'DB GIF'!E80)</f>
        <v>60</v>
      </c>
      <c r="D64" s="403" t="str">
        <f>IF('DB GIF'!F80="","",'DB GIF'!F80)</f>
        <v/>
      </c>
      <c r="E64" s="403" t="str">
        <f>IF('DB GIF'!G80="","",'DB GIF'!G80)</f>
        <v/>
      </c>
      <c r="F64" s="403" t="str">
        <f>IF('DB GIF'!H80="","",'DB GIF'!H80)</f>
        <v/>
      </c>
      <c r="G64" s="403" t="str">
        <f>IF('DB GIF'!I80="","",'DB GIF'!I80)</f>
        <v/>
      </c>
      <c r="H64" s="403" t="str">
        <f>IF('DB GIF'!J80="","",'DB GIF'!J80)</f>
        <v/>
      </c>
    </row>
    <row r="65" spans="1:8" x14ac:dyDescent="0.2">
      <c r="A65" s="402" t="s">
        <v>1748</v>
      </c>
      <c r="B65" s="413">
        <f>IF('DB GIF'!D82="","",'DB GIF'!D82)</f>
        <v>1.5</v>
      </c>
      <c r="C65" s="413">
        <f>IF('DB GIF'!E82="","",'DB GIF'!E82)</f>
        <v>1.5</v>
      </c>
      <c r="D65" s="413" t="str">
        <f>IF('DB GIF'!F82="","",'DB GIF'!F82)</f>
        <v/>
      </c>
      <c r="E65" s="413" t="str">
        <f>IF('DB GIF'!G82="","",'DB GIF'!G82)</f>
        <v/>
      </c>
      <c r="F65" s="413" t="str">
        <f>IF('DB GIF'!H82="","",'DB GIF'!H82)</f>
        <v/>
      </c>
      <c r="G65" s="413" t="str">
        <f>IF('DB GIF'!I82="","",'DB GIF'!I82)</f>
        <v/>
      </c>
      <c r="H65" s="413" t="str">
        <f>IF('DB GIF'!J82="","",'DB GIF'!J82)</f>
        <v/>
      </c>
    </row>
    <row r="66" spans="1:8" x14ac:dyDescent="0.2">
      <c r="A66" s="402" t="s">
        <v>383</v>
      </c>
      <c r="B66" s="403" t="str">
        <f>IF('DB GIF'!D84="","",'DB GIF'!D84)</f>
        <v/>
      </c>
      <c r="C66" s="403" t="str">
        <f>IF('DB GIF'!E84="","",'DB GIF'!E84)</f>
        <v/>
      </c>
      <c r="D66" s="403" t="str">
        <f>IF('DB GIF'!F84="","",'DB GIF'!F84)</f>
        <v/>
      </c>
      <c r="E66" s="403" t="str">
        <f>IF('DB GIF'!G84="","",'DB GIF'!G84)</f>
        <v/>
      </c>
      <c r="F66" s="403" t="str">
        <f>IF('DB GIF'!H84="","",'DB GIF'!H84)</f>
        <v/>
      </c>
      <c r="G66" s="403" t="str">
        <f>IF('DB GIF'!I84="","",'DB GIF'!I84)</f>
        <v/>
      </c>
      <c r="H66" s="403" t="str">
        <f>IF('DB GIF'!J84="","",'DB GIF'!J84)</f>
        <v/>
      </c>
    </row>
    <row r="67" spans="1:8" x14ac:dyDescent="0.2">
      <c r="A67" s="402" t="s">
        <v>397</v>
      </c>
      <c r="B67" s="403" t="str">
        <f>IF('DB GIF'!D87="","",'DB GIF'!D87)</f>
        <v/>
      </c>
      <c r="C67" s="403" t="str">
        <f>IF('DB GIF'!E87="","",'DB GIF'!E87)</f>
        <v/>
      </c>
      <c r="D67" s="403" t="str">
        <f>IF('DB GIF'!F87="","",'DB GIF'!F87)</f>
        <v/>
      </c>
      <c r="E67" s="403" t="str">
        <f>IF('DB GIF'!G87="","",'DB GIF'!G87)</f>
        <v/>
      </c>
      <c r="F67" s="403" t="str">
        <f>IF('DB GIF'!H87="","",'DB GIF'!H87)</f>
        <v/>
      </c>
      <c r="G67" s="403" t="str">
        <f>IF('DB GIF'!I87="","",'DB GIF'!I87)</f>
        <v/>
      </c>
      <c r="H67" s="403" t="str">
        <f>IF('DB GIF'!J87="","",'DB GIF'!J87)</f>
        <v/>
      </c>
    </row>
    <row r="68" spans="1:8" x14ac:dyDescent="0.2">
      <c r="A68" s="402" t="s">
        <v>1749</v>
      </c>
      <c r="B68" s="403" t="str">
        <f>IF('DB GIF'!D89="","",'DB GIF'!D89)</f>
        <v/>
      </c>
      <c r="C68" s="403" t="str">
        <f>IF('DB GIF'!E89="","",'DB GIF'!E89)</f>
        <v/>
      </c>
      <c r="D68" s="403" t="str">
        <f>IF('DB GIF'!F89="","",'DB GIF'!F89)</f>
        <v/>
      </c>
      <c r="E68" s="403" t="str">
        <f>IF('DB GIF'!G89="","",'DB GIF'!G89)</f>
        <v/>
      </c>
      <c r="F68" s="403" t="str">
        <f>IF('DB GIF'!H89="","",'DB GIF'!H89)</f>
        <v/>
      </c>
      <c r="G68" s="403" t="str">
        <f>IF('DB GIF'!I89="","",'DB GIF'!I89)</f>
        <v/>
      </c>
      <c r="H68" s="403" t="str">
        <f>IF('DB GIF'!J89="","",'DB GIF'!J89)</f>
        <v/>
      </c>
    </row>
    <row r="69" spans="1:8" x14ac:dyDescent="0.2">
      <c r="A69" s="402" t="s">
        <v>289</v>
      </c>
      <c r="B69" s="403" t="str">
        <f>IF('DB GIF'!D92="","",'DB GIF'!D92)</f>
        <v/>
      </c>
      <c r="C69" s="403" t="str">
        <f>IF('DB GIF'!E92="","",'DB GIF'!E92)</f>
        <v/>
      </c>
      <c r="D69" s="403" t="str">
        <f>IF('DB GIF'!F92="","",'DB GIF'!F92)</f>
        <v/>
      </c>
      <c r="E69" s="403" t="str">
        <f>IF('DB GIF'!G92="","",'DB GIF'!G92)</f>
        <v/>
      </c>
      <c r="F69" s="403" t="str">
        <f>IF('DB GIF'!H92="","",'DB GIF'!H92)</f>
        <v/>
      </c>
      <c r="G69" s="403" t="str">
        <f>IF('DB GIF'!I92="","",'DB GIF'!I92)</f>
        <v/>
      </c>
      <c r="H69" s="403" t="str">
        <f>IF('DB GIF'!J92="","",'DB GIF'!J92)</f>
        <v/>
      </c>
    </row>
    <row r="70" spans="1:8" ht="24" x14ac:dyDescent="0.2">
      <c r="A70" s="402" t="s">
        <v>1772</v>
      </c>
      <c r="B70" s="403" t="str">
        <f>IF('DB GIF'!D95="","",'DB GIF'!D95)</f>
        <v/>
      </c>
      <c r="C70" s="403" t="str">
        <f>IF('DB GIF'!E95="","",'DB GIF'!E95)</f>
        <v/>
      </c>
      <c r="D70" s="403" t="str">
        <f>IF('DB GIF'!F95="","",'DB GIF'!F95)</f>
        <v/>
      </c>
      <c r="E70" s="403" t="str">
        <f>IF('DB GIF'!G95="","",'DB GIF'!G95)</f>
        <v/>
      </c>
      <c r="F70" s="403" t="str">
        <f>IF('DB GIF'!H95="","",'DB GIF'!H95)</f>
        <v/>
      </c>
      <c r="G70" s="403" t="str">
        <f>IF('DB GIF'!I95="","",'DB GIF'!I95)</f>
        <v/>
      </c>
      <c r="H70" s="403" t="str">
        <f>IF('DB GIF'!J95="","",'DB GIF'!J95)</f>
        <v/>
      </c>
    </row>
    <row r="71" spans="1:8" ht="24" x14ac:dyDescent="0.2">
      <c r="A71" s="402" t="s">
        <v>1771</v>
      </c>
      <c r="B71" s="403" t="str">
        <f>IF('DB GIF'!D96="","",'DB GIF'!D96)</f>
        <v/>
      </c>
      <c r="C71" s="403" t="str">
        <f>IF('DB GIF'!E96="","",'DB GIF'!E96)</f>
        <v/>
      </c>
      <c r="D71" s="403" t="str">
        <f>IF('DB GIF'!F96="","",'DB GIF'!F96)</f>
        <v/>
      </c>
      <c r="E71" s="403" t="str">
        <f>IF('DB GIF'!G96="","",'DB GIF'!G96)</f>
        <v/>
      </c>
      <c r="F71" s="403" t="str">
        <f>IF('DB GIF'!H96="","",'DB GIF'!H96)</f>
        <v/>
      </c>
      <c r="G71" s="403" t="str">
        <f>IF('DB GIF'!I96="","",'DB GIF'!I96)</f>
        <v/>
      </c>
      <c r="H71" s="403" t="str">
        <f>IF('DB GIF'!J96="","",'DB GIF'!J96)</f>
        <v/>
      </c>
    </row>
    <row r="72" spans="1:8" x14ac:dyDescent="0.2">
      <c r="A72" s="402" t="s">
        <v>1750</v>
      </c>
      <c r="B72" s="403" t="str">
        <f>IF('DB GIF'!D103="","",'DB GIF'!D103)</f>
        <v>K</v>
      </c>
      <c r="C72" s="403" t="str">
        <f>IF('DB GIF'!E103="","",'DB GIF'!E103)</f>
        <v/>
      </c>
      <c r="D72" s="403" t="str">
        <f>IF('DB GIF'!F103="","",'DB GIF'!F103)</f>
        <v/>
      </c>
      <c r="E72" s="403" t="str">
        <f>IF('DB GIF'!G103="","",'DB GIF'!G103)</f>
        <v/>
      </c>
      <c r="F72" s="403" t="str">
        <f>IF('DB GIF'!H103="","",'DB GIF'!H103)</f>
        <v/>
      </c>
      <c r="G72" s="403" t="str">
        <f>IF('DB GIF'!I103="","",'DB GIF'!I103)</f>
        <v/>
      </c>
      <c r="H72" s="403" t="str">
        <f>IF('DB GIF'!J103="","",'DB GIF'!J103)</f>
        <v/>
      </c>
    </row>
    <row r="73" spans="1:8" x14ac:dyDescent="0.2">
      <c r="A73" s="402"/>
      <c r="B73" s="24"/>
      <c r="C73" s="24"/>
      <c r="D73" s="24"/>
      <c r="E73" s="24"/>
      <c r="F73" s="24"/>
      <c r="G73" s="24"/>
      <c r="H73" s="24"/>
    </row>
    <row r="74" spans="1:8" ht="15" customHeight="1" x14ac:dyDescent="0.2">
      <c r="A74" s="404" t="s">
        <v>1751</v>
      </c>
      <c r="D74"/>
    </row>
    <row r="75" spans="1:8" ht="16.5" customHeight="1" x14ac:dyDescent="0.2">
      <c r="A75" s="405" t="s">
        <v>1734</v>
      </c>
      <c r="B75" s="311"/>
      <c r="C75" s="311"/>
      <c r="D75" s="311"/>
      <c r="E75" s="311"/>
      <c r="F75" s="311"/>
      <c r="G75" s="311"/>
      <c r="H75" s="311"/>
    </row>
    <row r="76" spans="1:8" ht="16.5" customHeight="1" x14ac:dyDescent="0.2">
      <c r="A76" s="825" t="str">
        <f>IF('DB GIF'!A106="","",'DB GIF'!A106)</f>
        <v xml:space="preserve">core1 terminals with cover for UTF purpose </v>
      </c>
      <c r="B76" s="825"/>
      <c r="C76" s="825"/>
      <c r="D76" s="825"/>
      <c r="E76" s="825"/>
      <c r="F76" s="825"/>
      <c r="G76" s="825"/>
      <c r="H76" s="825"/>
    </row>
    <row r="77" spans="1:8" ht="14.1" customHeight="1" x14ac:dyDescent="0.2">
      <c r="A77" s="842"/>
      <c r="B77" s="842"/>
      <c r="C77" s="842"/>
      <c r="D77" s="842"/>
      <c r="E77" s="842"/>
      <c r="F77" s="842"/>
      <c r="G77" s="842"/>
      <c r="H77" s="842"/>
    </row>
    <row r="78" spans="1:8" ht="14.1" customHeight="1" x14ac:dyDescent="0.2">
      <c r="A78" s="831"/>
      <c r="B78" s="831"/>
      <c r="C78" s="831"/>
      <c r="D78" s="831"/>
      <c r="E78" s="831"/>
      <c r="F78" s="831"/>
      <c r="G78" s="831"/>
      <c r="H78" s="831"/>
    </row>
    <row r="79" spans="1:8" ht="15.6" customHeight="1" x14ac:dyDescent="0.2">
      <c r="A79" s="305"/>
      <c r="B79" s="305"/>
      <c r="C79" s="305"/>
      <c r="D79" s="385"/>
      <c r="E79" s="305"/>
      <c r="F79" s="305"/>
      <c r="G79" s="305"/>
      <c r="H79" s="305"/>
    </row>
    <row r="80" spans="1:8" ht="15.6" customHeight="1" x14ac:dyDescent="0.2">
      <c r="A80" s="822" t="s">
        <v>1270</v>
      </c>
      <c r="B80" s="835"/>
      <c r="C80" s="835"/>
      <c r="D80" s="835"/>
      <c r="E80" s="835"/>
      <c r="F80" s="835"/>
      <c r="G80" s="835"/>
    </row>
    <row r="81" spans="1:8" ht="12.95" customHeight="1" x14ac:dyDescent="0.2">
      <c r="A81" s="311"/>
      <c r="B81" s="311"/>
      <c r="C81" s="311"/>
      <c r="D81" s="311"/>
      <c r="E81" s="311"/>
      <c r="F81" s="311"/>
      <c r="G81" s="311"/>
      <c r="H81" s="311"/>
    </row>
    <row r="82" spans="1:8" x14ac:dyDescent="0.2">
      <c r="A82" s="836" t="s">
        <v>1199</v>
      </c>
      <c r="B82" s="836"/>
      <c r="C82" s="316"/>
      <c r="D82" s="406" t="str">
        <f>'DB GIF'!E151</f>
        <v>Other specification</v>
      </c>
      <c r="E82" s="78"/>
      <c r="F82" s="78"/>
      <c r="G82" s="78"/>
    </row>
    <row r="83" spans="1:8" x14ac:dyDescent="0.2">
      <c r="A83" s="836" t="s">
        <v>1201</v>
      </c>
      <c r="B83" s="836"/>
      <c r="C83" s="316"/>
      <c r="D83" s="406" t="str">
        <f>'DB GIF'!E152</f>
        <v>Other specification</v>
      </c>
      <c r="E83" s="78"/>
      <c r="F83" s="78"/>
      <c r="G83" s="78"/>
    </row>
    <row r="84" spans="1:8" x14ac:dyDescent="0.2">
      <c r="A84" s="316" t="s">
        <v>1752</v>
      </c>
      <c r="B84" s="316"/>
      <c r="C84" s="316"/>
      <c r="D84" s="406"/>
      <c r="E84" s="78"/>
      <c r="F84" s="78"/>
      <c r="G84" s="78"/>
    </row>
    <row r="85" spans="1:8" x14ac:dyDescent="0.2">
      <c r="A85" s="316" t="s">
        <v>1765</v>
      </c>
      <c r="B85" s="316"/>
      <c r="C85" s="316"/>
      <c r="D85" s="406" t="str">
        <f>IF('DB GIF'!C140="Nicht gefordert / not specified","n.a.",'DB GIF'!C140)</f>
        <v>Eingebaut / mounted</v>
      </c>
      <c r="E85" s="78" t="str">
        <f>IF('DB GIF'!E141="","",'DB GIF'!E141)</f>
        <v>8xM25  cableglands for cables having diameter ø 12 ÷ 16 mm 
4 for the secondary and 4 for the density meter</v>
      </c>
      <c r="F85" s="78"/>
      <c r="G85" s="78"/>
    </row>
    <row r="86" spans="1:8" x14ac:dyDescent="0.2">
      <c r="A86" s="316"/>
      <c r="B86" s="316"/>
      <c r="C86" s="316"/>
      <c r="D86" s="406"/>
      <c r="E86" s="78"/>
      <c r="F86" s="78"/>
      <c r="G86" s="78"/>
    </row>
    <row r="87" spans="1:8" x14ac:dyDescent="0.2">
      <c r="A87" s="316" t="s">
        <v>1766</v>
      </c>
      <c r="B87" s="316"/>
      <c r="C87" s="316"/>
      <c r="D87" s="406" t="str">
        <f>IF('DB GIF'!E138="Nein","No","Yes")</f>
        <v>Yes</v>
      </c>
      <c r="E87" s="78"/>
      <c r="F87" s="78"/>
      <c r="G87" s="78"/>
    </row>
    <row r="88" spans="1:8" x14ac:dyDescent="0.2">
      <c r="A88" s="316" t="s">
        <v>1753</v>
      </c>
      <c r="B88" s="316"/>
      <c r="C88" s="316"/>
      <c r="D88" s="406" t="str">
        <f>IF('DB GIF'!E137="Ja","Yes","No")</f>
        <v>No</v>
      </c>
      <c r="E88" s="78" t="str" cm="1">
        <f t="array" ref="E88:F88">IF('DB GIF'!J137:K137="","",'DB GIF'!J137:K137)</f>
        <v/>
      </c>
      <c r="F88" s="78" t="str">
        <v/>
      </c>
      <c r="G88" s="78"/>
    </row>
    <row r="89" spans="1:8" x14ac:dyDescent="0.2">
      <c r="A89" s="78" t="s">
        <v>1263</v>
      </c>
      <c r="B89" s="78"/>
      <c r="C89" s="78"/>
      <c r="D89" s="406" t="str">
        <f>'DB GIF'!E129</f>
        <v>Phoenix UK16N</v>
      </c>
      <c r="F89" s="78"/>
      <c r="G89" s="78"/>
    </row>
    <row r="90" spans="1:8" x14ac:dyDescent="0.2">
      <c r="A90" s="836" t="s">
        <v>1264</v>
      </c>
      <c r="B90" s="836"/>
      <c r="C90" s="839"/>
      <c r="D90" s="406" t="str">
        <f>'DB GIF'!E130</f>
        <v>Phoenix UK6N</v>
      </c>
      <c r="E90" s="78"/>
      <c r="F90" s="78"/>
      <c r="G90" s="78"/>
    </row>
    <row r="91" spans="1:8" x14ac:dyDescent="0.2">
      <c r="A91" s="836" t="s">
        <v>1265</v>
      </c>
      <c r="B91" s="836"/>
      <c r="C91" s="839"/>
      <c r="D91" s="406" t="str">
        <f>'DB GIF'!E108</f>
        <v>mit / with transmitter</v>
      </c>
      <c r="E91" s="78"/>
      <c r="F91" s="78"/>
      <c r="G91" s="78" t="str">
        <f>IF('DB GIF'!J108="keine Auswahl","",'DB GIF'!J108)</f>
        <v>4-20mA</v>
      </c>
    </row>
    <row r="92" spans="1:8" x14ac:dyDescent="0.2">
      <c r="A92" s="316" t="s">
        <v>1754</v>
      </c>
      <c r="B92" s="316"/>
      <c r="C92" s="316"/>
      <c r="D92" s="407">
        <f>'DB GIF'!E109</f>
        <v>0</v>
      </c>
      <c r="E92" s="78"/>
      <c r="F92" s="78"/>
      <c r="G92" s="78"/>
    </row>
    <row r="93" spans="1:8" x14ac:dyDescent="0.2">
      <c r="A93" s="836" t="s">
        <v>1272</v>
      </c>
      <c r="B93" s="836"/>
      <c r="C93" s="839"/>
      <c r="D93" s="78" t="s">
        <v>1207</v>
      </c>
      <c r="E93" s="316">
        <f>'DB GIF'!E110</f>
        <v>2</v>
      </c>
      <c r="F93" s="78"/>
      <c r="G93" s="78"/>
    </row>
    <row r="94" spans="1:8" ht="14.25" customHeight="1" x14ac:dyDescent="0.2">
      <c r="A94" s="387"/>
      <c r="B94" s="387"/>
      <c r="C94" s="387"/>
      <c r="D94" s="78" t="s">
        <v>1208</v>
      </c>
      <c r="E94" s="78" t="str">
        <f>'DB GIF'!E115</f>
        <v>Wechslend / change over</v>
      </c>
      <c r="F94" s="78"/>
      <c r="G94" s="78"/>
    </row>
    <row r="95" spans="1:8" x14ac:dyDescent="0.2">
      <c r="A95" s="316" t="s">
        <v>1266</v>
      </c>
      <c r="B95" s="387"/>
      <c r="C95" s="387"/>
      <c r="D95" s="406" t="str">
        <f>IF('DB GIF'!E111="Ja","Yes","No")</f>
        <v>Yes</v>
      </c>
      <c r="E95" s="78"/>
      <c r="F95" s="78"/>
      <c r="G95" s="78"/>
    </row>
    <row r="96" spans="1:8" x14ac:dyDescent="0.2">
      <c r="A96" s="316" t="s">
        <v>1767</v>
      </c>
      <c r="B96" s="387"/>
      <c r="C96" s="387"/>
      <c r="D96" s="406" t="str">
        <f>IF('DB GIF'!E113="Ja","Yes","No")</f>
        <v>Yes</v>
      </c>
      <c r="E96" s="78"/>
      <c r="F96" s="78"/>
      <c r="G96" s="78"/>
    </row>
    <row r="97" spans="1:7" x14ac:dyDescent="0.2">
      <c r="A97" s="316" t="s">
        <v>1267</v>
      </c>
      <c r="B97" s="387"/>
      <c r="C97" s="387"/>
      <c r="D97" s="406" t="str">
        <f>IF('DB GIF'!E112="Ja","Yes","No")</f>
        <v>No</v>
      </c>
      <c r="E97" s="78"/>
      <c r="F97" s="78"/>
      <c r="G97" s="78"/>
    </row>
    <row r="98" spans="1:7" ht="15" x14ac:dyDescent="0.25">
      <c r="A98" s="316" t="s">
        <v>1214</v>
      </c>
      <c r="B98" s="386"/>
      <c r="C98" s="386"/>
      <c r="D98" s="406" t="s">
        <v>651</v>
      </c>
      <c r="F98" s="78"/>
      <c r="G98" s="406"/>
    </row>
    <row r="99" spans="1:7" ht="15" x14ac:dyDescent="0.25">
      <c r="A99" s="316" t="s">
        <v>1755</v>
      </c>
      <c r="B99" s="386"/>
      <c r="C99" s="386"/>
      <c r="D99" s="406" t="s">
        <v>1770</v>
      </c>
      <c r="E99" t="s">
        <v>370</v>
      </c>
      <c r="F99" s="78"/>
      <c r="G99" s="406"/>
    </row>
    <row r="100" spans="1:7" ht="15" x14ac:dyDescent="0.25">
      <c r="A100" s="316" t="s">
        <v>1756</v>
      </c>
      <c r="B100" s="386"/>
      <c r="C100" s="386"/>
      <c r="D100" s="406" t="s">
        <v>1770</v>
      </c>
      <c r="F100" s="78"/>
      <c r="G100" s="406"/>
    </row>
    <row r="101" spans="1:7" x14ac:dyDescent="0.2">
      <c r="A101" t="s">
        <v>1217</v>
      </c>
      <c r="D101" t="s">
        <v>1770</v>
      </c>
    </row>
    <row r="102" spans="1:7" ht="15.6" customHeight="1" x14ac:dyDescent="0.2">
      <c r="A102" t="s">
        <v>1223</v>
      </c>
      <c r="D102" t="s">
        <v>1220</v>
      </c>
      <c r="E102" t="str">
        <f>IF('[3]DB GIF'!E143="Alu silber &amp; schwarze Schrift","Alu with black font","")</f>
        <v>Alu with black font</v>
      </c>
    </row>
    <row r="103" spans="1:7" x14ac:dyDescent="0.2">
      <c r="D103"/>
    </row>
    <row r="104" spans="1:7" x14ac:dyDescent="0.2">
      <c r="A104" t="s">
        <v>1232</v>
      </c>
      <c r="D104" s="2" t="s">
        <v>1769</v>
      </c>
    </row>
    <row r="105" spans="1:7" x14ac:dyDescent="0.2">
      <c r="D105" t="str">
        <f>IF('DB GIF'!G149="keine Lackierung gefordert","n.a.",'DB GIF'!G149)</f>
        <v>RAL 9010 - 216950 (120-240µm)</v>
      </c>
    </row>
    <row r="106" spans="1:7" x14ac:dyDescent="0.2">
      <c r="A106" s="2" t="s">
        <v>1734</v>
      </c>
      <c r="D106"/>
    </row>
    <row r="107" spans="1:7" x14ac:dyDescent="0.2">
      <c r="A107" s="2"/>
      <c r="D107"/>
    </row>
    <row r="108" spans="1:7" x14ac:dyDescent="0.2">
      <c r="A108" s="2"/>
      <c r="D108"/>
    </row>
    <row r="109" spans="1:7" x14ac:dyDescent="0.2">
      <c r="A109" s="2"/>
      <c r="D109"/>
    </row>
    <row r="110" spans="1:7" x14ac:dyDescent="0.2">
      <c r="A110" s="78" t="s">
        <v>1757</v>
      </c>
      <c r="B110" s="78"/>
      <c r="C110" s="78"/>
      <c r="D110" s="78" t="str">
        <f>'DB GIF'!G142</f>
        <v>Italienisch</v>
      </c>
    </row>
    <row r="111" spans="1:7" x14ac:dyDescent="0.2">
      <c r="A111" s="78" t="s">
        <v>1758</v>
      </c>
      <c r="B111" s="78"/>
      <c r="C111" s="78"/>
      <c r="D111" s="78" t="str">
        <f>'DB GIF'!E155</f>
        <v>Italienisch</v>
      </c>
    </row>
    <row r="113" spans="1:8" x14ac:dyDescent="0.2">
      <c r="A113" s="305"/>
      <c r="B113" s="305"/>
      <c r="C113" s="305"/>
      <c r="D113" s="305"/>
      <c r="E113" s="305"/>
      <c r="F113" s="305"/>
      <c r="G113" s="305"/>
      <c r="H113" s="305"/>
    </row>
    <row r="114" spans="1:8" ht="15" x14ac:dyDescent="0.25">
      <c r="A114" s="832" t="s">
        <v>1243</v>
      </c>
      <c r="B114" s="832"/>
      <c r="C114" s="832"/>
      <c r="D114" s="832"/>
      <c r="E114" s="832"/>
      <c r="F114" s="832"/>
      <c r="G114" s="832"/>
    </row>
    <row r="115" spans="1:8" x14ac:dyDescent="0.2">
      <c r="A115" s="311"/>
      <c r="B115" s="311"/>
      <c r="C115" s="311"/>
      <c r="D115" s="311"/>
      <c r="E115" s="311"/>
      <c r="F115" s="311"/>
      <c r="G115" s="311"/>
      <c r="H115" s="311"/>
    </row>
    <row r="116" spans="1:8" x14ac:dyDescent="0.2">
      <c r="A116" s="389" t="s">
        <v>1246</v>
      </c>
      <c r="D116"/>
    </row>
    <row r="117" spans="1:8" x14ac:dyDescent="0.2">
      <c r="D117"/>
    </row>
    <row r="118" spans="1:8" x14ac:dyDescent="0.2">
      <c r="A118" s="409" t="s">
        <v>1182</v>
      </c>
      <c r="B118" s="78"/>
      <c r="C118" s="78"/>
      <c r="D118" s="78"/>
      <c r="E118" s="78"/>
      <c r="F118" s="78"/>
      <c r="G118" s="78"/>
    </row>
    <row r="119" spans="1:8" x14ac:dyDescent="0.2">
      <c r="A119" s="827" t="str">
        <f>IF('DB GIF'!A160="","",'DB GIF'!A160)</f>
        <v xml:space="preserve">Note 1:  2xDN8 or in alternative  1xDN8 + 1xDN20 (Andreas Karl was thinking a 
solution to use SAS adapter (one DN20) and other DN20 or DN8 in the zwischenstuck 
Note 2: Double o-ring in alle the junctions ad per Terna specification on standard transformers. Adapter --&gt; Gaber 
Note 3:  On the outside of the secondary terminal box door there must be a plate, indelible and resistant to
atmospheric agents, showing the following information:
 connection diagrams of the secondary windings and those of the primary sections, if any,
in relation to the respective transformation ratios;
 connection diagram of the gas density control device, with indication of the gas relative
densities corresponding to the two intervention levels.
see example of what we did for Terna 
one big rating plate with LS and SS included see standard HQ rating plate. 
Note 4:  for the steel parts (foot)  in  80mm zinck.  The head castings must be painted on the outer surface only with a 9010 colour epoxy
coating according to the RAL classification in compliance with the UNI EN ISO 12944-2/5 Standards, with a C5 corrosion category and very high (vh) durability
Make 3D drawing of the transformer and to be  checked on the Terna 420kV pedestal (no DW colloision or cable glands)
ZIS 617506_Rev00 - Benennung: Hinweisschild INAIL/instruction plate INAIL
ZHS 617613_Rev00 - Benennung: Hinweisschild TYP / Instruction plate TYPE
ZMB - additional information:
Dm : 455,5 mm
kD :  1,271
kCF :  1,278  
kA :  1,009
BVCC :  242,5 kV
RSCD :  37,8 mm/kV
SSCD :  61,94 mm/kV
- add screenshot for insolator drawing profile showing diameters of the insulator with silicone layer and sheeds + profile dimensions
- Information about manufacturer of the insulator (name)
- Anbringungsstelle für ZIS 617506_Rev00 - "Hinweisschild INAIL" kennzeichnen
</v>
      </c>
      <c r="B119" s="828"/>
      <c r="C119" s="828"/>
      <c r="D119" s="828"/>
      <c r="E119" s="828"/>
      <c r="F119" s="828"/>
      <c r="G119" s="828"/>
      <c r="H119" s="829"/>
    </row>
    <row r="120" spans="1:8" x14ac:dyDescent="0.2">
      <c r="A120" s="830"/>
      <c r="B120" s="831"/>
      <c r="C120" s="831"/>
      <c r="D120" s="831"/>
      <c r="E120" s="831"/>
      <c r="F120" s="831"/>
      <c r="G120" s="831"/>
      <c r="H120" s="831"/>
    </row>
    <row r="121" spans="1:8" x14ac:dyDescent="0.2">
      <c r="D121"/>
    </row>
    <row r="122" spans="1:8" s="408" customFormat="1" ht="12.6" customHeight="1" x14ac:dyDescent="0.2">
      <c r="A122"/>
      <c r="B122"/>
      <c r="C122"/>
      <c r="D122"/>
      <c r="E122"/>
      <c r="F122"/>
      <c r="G122"/>
      <c r="H122"/>
    </row>
    <row r="123" spans="1:8" ht="12" customHeight="1" x14ac:dyDescent="0.2">
      <c r="D123"/>
    </row>
    <row r="124" spans="1:8" s="408" customFormat="1" x14ac:dyDescent="0.2">
      <c r="A124"/>
      <c r="B124"/>
      <c r="C124"/>
      <c r="D124"/>
      <c r="E124"/>
      <c r="F124"/>
      <c r="G124"/>
      <c r="H124"/>
    </row>
    <row r="125" spans="1:8" s="408" customFormat="1" x14ac:dyDescent="0.2">
      <c r="A125"/>
      <c r="B125"/>
      <c r="C125"/>
      <c r="D125"/>
      <c r="E125"/>
      <c r="F125"/>
      <c r="G125"/>
      <c r="H125"/>
    </row>
    <row r="126" spans="1:8" s="408" customFormat="1" x14ac:dyDescent="0.2">
      <c r="A126"/>
      <c r="B126"/>
      <c r="C126"/>
      <c r="D126"/>
      <c r="E126"/>
      <c r="F126"/>
      <c r="G126"/>
      <c r="H126"/>
    </row>
    <row r="127" spans="1:8" x14ac:dyDescent="0.2">
      <c r="D127"/>
    </row>
    <row r="128" spans="1:8" x14ac:dyDescent="0.2">
      <c r="D128"/>
    </row>
    <row r="129" spans="4:4" x14ac:dyDescent="0.2">
      <c r="D129"/>
    </row>
    <row r="130" spans="4:4" x14ac:dyDescent="0.2">
      <c r="D130"/>
    </row>
    <row r="131" spans="4:4" x14ac:dyDescent="0.2">
      <c r="D131"/>
    </row>
    <row r="132" spans="4:4" x14ac:dyDescent="0.2">
      <c r="D132"/>
    </row>
    <row r="133" spans="4:4" x14ac:dyDescent="0.2">
      <c r="D133"/>
    </row>
    <row r="134" spans="4:4" x14ac:dyDescent="0.2">
      <c r="D134"/>
    </row>
    <row r="135" spans="4:4" x14ac:dyDescent="0.2">
      <c r="D135"/>
    </row>
    <row r="136" spans="4:4" x14ac:dyDescent="0.2">
      <c r="D136"/>
    </row>
    <row r="137" spans="4:4" x14ac:dyDescent="0.2">
      <c r="D137"/>
    </row>
    <row r="138" spans="4:4" x14ac:dyDescent="0.2">
      <c r="D138"/>
    </row>
    <row r="139" spans="4:4" x14ac:dyDescent="0.2">
      <c r="D139"/>
    </row>
    <row r="140" spans="4:4" x14ac:dyDescent="0.2">
      <c r="D140"/>
    </row>
    <row r="141" spans="4:4" x14ac:dyDescent="0.2">
      <c r="D141"/>
    </row>
    <row r="142" spans="4:4" x14ac:dyDescent="0.2">
      <c r="D142"/>
    </row>
    <row r="143" spans="4:4" x14ac:dyDescent="0.2">
      <c r="D143"/>
    </row>
    <row r="144" spans="4:4" x14ac:dyDescent="0.2">
      <c r="D144"/>
    </row>
    <row r="145" spans="4:4" x14ac:dyDescent="0.2">
      <c r="D145"/>
    </row>
    <row r="146" spans="4:4" x14ac:dyDescent="0.2">
      <c r="D146"/>
    </row>
    <row r="147" spans="4:4" x14ac:dyDescent="0.2">
      <c r="D147"/>
    </row>
    <row r="148" spans="4:4" x14ac:dyDescent="0.2">
      <c r="D148"/>
    </row>
    <row r="149" spans="4:4" x14ac:dyDescent="0.2">
      <c r="D149"/>
    </row>
    <row r="150" spans="4:4" x14ac:dyDescent="0.2">
      <c r="D150"/>
    </row>
    <row r="151" spans="4:4" x14ac:dyDescent="0.2">
      <c r="D151"/>
    </row>
    <row r="152" spans="4:4" x14ac:dyDescent="0.2">
      <c r="D152"/>
    </row>
    <row r="153" spans="4:4" x14ac:dyDescent="0.2">
      <c r="D153"/>
    </row>
    <row r="154" spans="4:4" x14ac:dyDescent="0.2">
      <c r="D154"/>
    </row>
    <row r="155" spans="4:4" x14ac:dyDescent="0.2">
      <c r="D155"/>
    </row>
    <row r="156" spans="4:4" x14ac:dyDescent="0.2">
      <c r="D156"/>
    </row>
    <row r="157" spans="4:4" x14ac:dyDescent="0.2">
      <c r="D157"/>
    </row>
    <row r="158" spans="4:4" x14ac:dyDescent="0.2">
      <c r="D158"/>
    </row>
    <row r="159" spans="4:4" x14ac:dyDescent="0.2">
      <c r="D159"/>
    </row>
    <row r="160" spans="4:4" x14ac:dyDescent="0.2">
      <c r="D160"/>
    </row>
    <row r="161" spans="4:4" x14ac:dyDescent="0.2">
      <c r="D161"/>
    </row>
    <row r="162" spans="4:4" x14ac:dyDescent="0.2">
      <c r="D162"/>
    </row>
    <row r="163" spans="4:4" x14ac:dyDescent="0.2">
      <c r="D163"/>
    </row>
  </sheetData>
  <sheetProtection algorithmName="SHA-512" hashValue="LDsjKXQLvnbynfBl456xHxLTxT2QwuLijupgBD0JLdRSfTchJT7br5aQNMk8AIv4K2PxNabVTW/emZeOW/d2qA==" saltValue="fkARJ/hKoMN950XmWj1e2g==" spinCount="100000" sheet="1" scenarios="1" formatCells="0" formatColumns="0" formatRows="0" deleteColumns="0" deleteRows="0"/>
  <mergeCells count="18">
    <mergeCell ref="A120:H120"/>
    <mergeCell ref="A46:G46"/>
    <mergeCell ref="A57:B57"/>
    <mergeCell ref="A76:H78"/>
    <mergeCell ref="A80:G80"/>
    <mergeCell ref="A82:B82"/>
    <mergeCell ref="A83:B83"/>
    <mergeCell ref="A114:G114"/>
    <mergeCell ref="A119:H119"/>
    <mergeCell ref="F42:G42"/>
    <mergeCell ref="A90:C90"/>
    <mergeCell ref="A91:C91"/>
    <mergeCell ref="A93:C93"/>
    <mergeCell ref="A5:B5"/>
    <mergeCell ref="A19:G19"/>
    <mergeCell ref="A25:H25"/>
    <mergeCell ref="A27:G27"/>
    <mergeCell ref="A38:G38"/>
  </mergeCells>
  <conditionalFormatting sqref="A45:G47 A57:A58 C57:G58 A49:G56">
    <cfRule type="expression" dxfId="301" priority="2">
      <formula>#REF!="n.a."</formula>
    </cfRule>
  </conditionalFormatting>
  <pageMargins left="0.70866141732283472" right="0.70866141732283472" top="0.74803149606299213" bottom="0.74803149606299213" header="0.31496062992125984" footer="0.31496062992125984"/>
  <pageSetup paperSize="9" scale="63" fitToHeight="0" orientation="portrait" horizontalDpi="300" r:id="rId1"/>
  <headerFooter>
    <oddHeader>&amp;C&amp;G&amp;R&amp;D</oddHeader>
    <oddFooter>&amp;C&amp;P</oddFooter>
  </headerFooter>
  <legacy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F9A818-F6CB-429B-A66D-924144C941C0}">
  <sheetPr codeName="Tabelle6"/>
  <dimension ref="A1:C26"/>
  <sheetViews>
    <sheetView workbookViewId="0">
      <selection activeCell="C16" sqref="C16"/>
    </sheetView>
  </sheetViews>
  <sheetFormatPr baseColWidth="10" defaultColWidth="11" defaultRowHeight="14.25" x14ac:dyDescent="0.2"/>
  <cols>
    <col min="2" max="2" width="23.125" customWidth="1"/>
    <col min="3" max="3" width="125.25" customWidth="1"/>
  </cols>
  <sheetData>
    <row r="1" spans="1:3" ht="15" thickBot="1" x14ac:dyDescent="0.25"/>
    <row r="2" spans="1:3" ht="15" thickBot="1" x14ac:dyDescent="0.25">
      <c r="A2" s="341" t="s">
        <v>1532</v>
      </c>
      <c r="B2" s="346" t="s">
        <v>1533</v>
      </c>
      <c r="C2" s="342" t="s">
        <v>1534</v>
      </c>
    </row>
    <row r="3" spans="1:3" x14ac:dyDescent="0.2">
      <c r="A3" s="344" t="s">
        <v>1535</v>
      </c>
      <c r="B3" s="345">
        <v>44736</v>
      </c>
      <c r="C3" s="344" t="s">
        <v>1536</v>
      </c>
    </row>
    <row r="4" spans="1:3" x14ac:dyDescent="0.2">
      <c r="A4" s="325" t="s">
        <v>1535</v>
      </c>
      <c r="B4" s="345">
        <v>44736</v>
      </c>
      <c r="C4" s="343" t="s">
        <v>1500</v>
      </c>
    </row>
    <row r="5" spans="1:3" x14ac:dyDescent="0.2">
      <c r="A5" s="325" t="s">
        <v>1535</v>
      </c>
      <c r="B5" s="345">
        <v>44736</v>
      </c>
      <c r="C5" s="343" t="s">
        <v>1529</v>
      </c>
    </row>
    <row r="6" spans="1:3" x14ac:dyDescent="0.2">
      <c r="A6" s="325" t="s">
        <v>1535</v>
      </c>
      <c r="B6" s="345">
        <v>44736</v>
      </c>
      <c r="C6" s="343" t="s">
        <v>1502</v>
      </c>
    </row>
    <row r="7" spans="1:3" x14ac:dyDescent="0.2">
      <c r="A7" s="325" t="s">
        <v>1535</v>
      </c>
      <c r="B7" s="345">
        <v>44736</v>
      </c>
      <c r="C7" s="343" t="s">
        <v>1508</v>
      </c>
    </row>
    <row r="8" spans="1:3" x14ac:dyDescent="0.2">
      <c r="A8" s="325" t="s">
        <v>1535</v>
      </c>
      <c r="B8" s="345">
        <v>44736</v>
      </c>
      <c r="C8" s="343" t="s">
        <v>1530</v>
      </c>
    </row>
    <row r="9" spans="1:3" x14ac:dyDescent="0.2">
      <c r="A9" s="325" t="s">
        <v>1535</v>
      </c>
      <c r="B9" s="345">
        <v>44736</v>
      </c>
      <c r="C9" s="24" t="s">
        <v>1531</v>
      </c>
    </row>
    <row r="10" spans="1:3" x14ac:dyDescent="0.2">
      <c r="A10" s="325" t="s">
        <v>1535</v>
      </c>
      <c r="B10" s="345">
        <v>44736</v>
      </c>
      <c r="C10" s="325" t="s">
        <v>1542</v>
      </c>
    </row>
    <row r="11" spans="1:3" x14ac:dyDescent="0.2">
      <c r="A11" s="325" t="s">
        <v>1535</v>
      </c>
      <c r="B11" s="345">
        <v>44736</v>
      </c>
      <c r="C11" s="325" t="s">
        <v>1561</v>
      </c>
    </row>
    <row r="12" spans="1:3" x14ac:dyDescent="0.2">
      <c r="A12" s="325" t="s">
        <v>1535</v>
      </c>
      <c r="B12" s="345">
        <v>44746</v>
      </c>
      <c r="C12" s="325" t="s">
        <v>1573</v>
      </c>
    </row>
    <row r="13" spans="1:3" x14ac:dyDescent="0.2">
      <c r="A13" s="325" t="s">
        <v>1535</v>
      </c>
      <c r="B13" s="345">
        <v>44753</v>
      </c>
      <c r="C13" s="325" t="s">
        <v>1574</v>
      </c>
    </row>
    <row r="14" spans="1:3" x14ac:dyDescent="0.2">
      <c r="A14" s="325" t="s">
        <v>1607</v>
      </c>
      <c r="B14" s="351">
        <v>44931</v>
      </c>
      <c r="C14" s="325" t="s">
        <v>1639</v>
      </c>
    </row>
    <row r="15" spans="1:3" x14ac:dyDescent="0.2">
      <c r="A15" s="325" t="s">
        <v>1706</v>
      </c>
      <c r="B15" s="375">
        <v>45000</v>
      </c>
      <c r="C15" s="325" t="s">
        <v>1707</v>
      </c>
    </row>
    <row r="16" spans="1:3" x14ac:dyDescent="0.2">
      <c r="A16" s="325" t="s">
        <v>1796</v>
      </c>
      <c r="B16" s="375">
        <v>45268</v>
      </c>
      <c r="C16" s="325" t="s">
        <v>1797</v>
      </c>
    </row>
    <row r="17" spans="1:3" x14ac:dyDescent="0.2">
      <c r="A17" s="24"/>
      <c r="B17" s="24"/>
      <c r="C17" s="24"/>
    </row>
    <row r="18" spans="1:3" x14ac:dyDescent="0.2">
      <c r="A18" s="24"/>
      <c r="B18" s="24"/>
      <c r="C18" s="24"/>
    </row>
    <row r="19" spans="1:3" x14ac:dyDescent="0.2">
      <c r="A19" s="24"/>
      <c r="B19" s="24"/>
      <c r="C19" s="24"/>
    </row>
    <row r="20" spans="1:3" x14ac:dyDescent="0.2">
      <c r="A20" s="24"/>
      <c r="B20" s="24"/>
      <c r="C20" s="24"/>
    </row>
    <row r="21" spans="1:3" x14ac:dyDescent="0.2">
      <c r="A21" s="24"/>
      <c r="B21" s="24"/>
      <c r="C21" s="24"/>
    </row>
    <row r="22" spans="1:3" x14ac:dyDescent="0.2">
      <c r="A22" s="24"/>
      <c r="B22" s="24"/>
      <c r="C22" s="24"/>
    </row>
    <row r="23" spans="1:3" x14ac:dyDescent="0.2">
      <c r="A23" s="24"/>
      <c r="B23" s="24"/>
      <c r="C23" s="24"/>
    </row>
    <row r="24" spans="1:3" x14ac:dyDescent="0.2">
      <c r="A24" s="24"/>
      <c r="B24" s="24"/>
      <c r="C24" s="24"/>
    </row>
    <row r="25" spans="1:3" x14ac:dyDescent="0.2">
      <c r="A25" s="24"/>
      <c r="B25" s="24"/>
      <c r="C25" s="24"/>
    </row>
    <row r="26" spans="1:3" x14ac:dyDescent="0.2">
      <c r="A26" s="24"/>
      <c r="B26" s="24"/>
      <c r="C26" s="24"/>
    </row>
  </sheetData>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702C9-71A7-4BC1-A9FF-C12B8AEA1F2D}">
  <sheetPr codeName="Tabelle7"/>
  <dimension ref="A1:D3"/>
  <sheetViews>
    <sheetView workbookViewId="0">
      <selection activeCell="C42" sqref="C42"/>
    </sheetView>
  </sheetViews>
  <sheetFormatPr baseColWidth="10" defaultColWidth="11" defaultRowHeight="14.25" x14ac:dyDescent="0.2"/>
  <cols>
    <col min="3" max="3" width="75.75" customWidth="1"/>
  </cols>
  <sheetData>
    <row r="1" spans="1:4" x14ac:dyDescent="0.2">
      <c r="A1" s="2"/>
      <c r="B1" s="185">
        <v>44120</v>
      </c>
      <c r="C1" s="2" t="s">
        <v>629</v>
      </c>
    </row>
    <row r="2" spans="1:4" x14ac:dyDescent="0.2">
      <c r="A2" s="2" t="s">
        <v>14</v>
      </c>
      <c r="B2" s="185">
        <v>44872</v>
      </c>
      <c r="C2" s="2" t="s">
        <v>1597</v>
      </c>
    </row>
    <row r="3" spans="1:4" x14ac:dyDescent="0.2">
      <c r="A3" s="2" t="s">
        <v>614</v>
      </c>
      <c r="B3" s="185">
        <v>44889</v>
      </c>
      <c r="C3" s="2" t="s">
        <v>1603</v>
      </c>
      <c r="D3" s="2" t="s">
        <v>1600</v>
      </c>
    </row>
  </sheetData>
  <dataValidations count="1">
    <dataValidation type="list" allowBlank="1" showInputMessage="1" showErrorMessage="1" sqref="A1:A3" xr:uid="{477826AE-9188-4A6A-A6D5-DBEAB4C6FEAA}">
      <formula1>$A$1:$A$2</formula1>
    </dataValidation>
  </dataValidations>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V74"/>
  <sheetViews>
    <sheetView topLeftCell="B28" zoomScale="85" zoomScaleNormal="85" workbookViewId="0">
      <selection activeCell="E65" sqref="E65"/>
    </sheetView>
  </sheetViews>
  <sheetFormatPr baseColWidth="10" defaultColWidth="11" defaultRowHeight="14.25" x14ac:dyDescent="0.2"/>
  <cols>
    <col min="1" max="1" width="38.625" style="31" customWidth="1"/>
    <col min="2" max="2" width="21.25" customWidth="1"/>
    <col min="3" max="3" width="18.25" customWidth="1"/>
    <col min="4" max="4" width="12.25" bestFit="1" customWidth="1"/>
    <col min="5" max="5" width="32.75" customWidth="1"/>
    <col min="6" max="6" width="37.625" customWidth="1"/>
    <col min="7" max="7" width="13.5" customWidth="1"/>
    <col min="8" max="8" width="17.5" customWidth="1"/>
    <col min="9" max="9" width="28.625" customWidth="1"/>
    <col min="10" max="10" width="19.25" customWidth="1"/>
    <col min="11" max="11" width="16.75" customWidth="1"/>
    <col min="12" max="12" width="14" customWidth="1"/>
    <col min="13" max="13" width="39" bestFit="1" customWidth="1"/>
    <col min="14" max="14" width="51" customWidth="1"/>
    <col min="15" max="15" width="17.75" customWidth="1"/>
    <col min="16" max="16" width="14.125" customWidth="1"/>
    <col min="17" max="17" width="45.25" style="9" customWidth="1"/>
    <col min="18" max="18" width="30.25" bestFit="1" customWidth="1"/>
    <col min="19" max="19" width="3.125" customWidth="1"/>
    <col min="20" max="20" width="13.25" customWidth="1"/>
    <col min="21" max="21" width="22.25" customWidth="1"/>
    <col min="22" max="22" width="12.625" customWidth="1"/>
    <col min="24" max="24" width="15.125" bestFit="1" customWidth="1"/>
    <col min="25" max="25" width="22.625" bestFit="1" customWidth="1"/>
  </cols>
  <sheetData>
    <row r="1" spans="1:20" s="12" customFormat="1" ht="30" x14ac:dyDescent="0.2">
      <c r="A1" s="36" t="s">
        <v>0</v>
      </c>
      <c r="B1" s="70" t="s">
        <v>356</v>
      </c>
      <c r="C1" s="48" t="s">
        <v>53</v>
      </c>
      <c r="D1" s="48" t="s">
        <v>54</v>
      </c>
      <c r="E1" s="48" t="s">
        <v>41</v>
      </c>
      <c r="F1" s="48" t="s">
        <v>43</v>
      </c>
      <c r="G1" s="58" t="s">
        <v>355</v>
      </c>
      <c r="H1" s="48" t="s">
        <v>23</v>
      </c>
      <c r="I1" s="47" t="s">
        <v>15</v>
      </c>
      <c r="J1" s="48" t="s">
        <v>305</v>
      </c>
      <c r="K1" s="45" t="s">
        <v>304</v>
      </c>
      <c r="L1" s="58" t="s">
        <v>351</v>
      </c>
      <c r="M1" s="44" t="s">
        <v>516</v>
      </c>
      <c r="N1" s="32" t="s">
        <v>307</v>
      </c>
      <c r="O1" s="49" t="s">
        <v>523</v>
      </c>
      <c r="P1" s="44" t="s">
        <v>531</v>
      </c>
      <c r="Q1" s="32" t="s">
        <v>306</v>
      </c>
    </row>
    <row r="2" spans="1:20" ht="15" x14ac:dyDescent="0.25">
      <c r="A2" s="238" t="s">
        <v>25</v>
      </c>
      <c r="B2" s="115" t="s">
        <v>29</v>
      </c>
      <c r="C2" s="41">
        <f>VLOOKUP('DB GIF'!$G$5,Modellliste!A1:K457,5,FALSE)</f>
        <v>420</v>
      </c>
      <c r="D2" s="41">
        <f>VLOOKUP('DB GIF'!$G$5,Modellliste!A1:K457,8,FALSE)</f>
        <v>630</v>
      </c>
      <c r="E2" s="41">
        <f>VLOOKUP('DB GIF'!$G$5,Modellliste!A1:K457,7,FALSE)</f>
        <v>1425</v>
      </c>
      <c r="F2" s="41">
        <f>VLOOKUP('DB GIF'!$G$5,Modellliste!A1:K457,9,FALSE)</f>
        <v>1050</v>
      </c>
      <c r="G2" s="41">
        <f>VLOOKUP('DB GIF'!$G$5,Modellliste!A1:K457,10,FALSE)</f>
        <v>1638.7499999999998</v>
      </c>
      <c r="H2" s="250">
        <f>VLOOKUP('DB GIF'!$G$5,Modellliste!A1:K457,6,FALSE)</f>
        <v>3000</v>
      </c>
      <c r="I2" s="162">
        <f>'DB GIF'!$C$121</f>
        <v>6</v>
      </c>
      <c r="J2" s="71">
        <f>VLOOKUP(I2,I3:K13,2,FALSE)</f>
        <v>5.5</v>
      </c>
      <c r="K2" s="203">
        <f>VLOOKUP(I2,I3:K13,3,FALSE)</f>
        <v>5</v>
      </c>
      <c r="L2" s="23" t="s">
        <v>1128</v>
      </c>
      <c r="M2" s="224" t="s">
        <v>1413</v>
      </c>
      <c r="N2" s="211" t="s">
        <v>1708</v>
      </c>
      <c r="O2" s="53" t="s">
        <v>462</v>
      </c>
      <c r="P2" s="221" t="s">
        <v>558</v>
      </c>
      <c r="Q2" s="323" t="s">
        <v>712</v>
      </c>
    </row>
    <row r="3" spans="1:20" ht="15.75" thickBot="1" x14ac:dyDescent="0.3">
      <c r="A3" s="238" t="s">
        <v>752</v>
      </c>
      <c r="B3" s="115" t="s">
        <v>29</v>
      </c>
      <c r="C3" s="120"/>
      <c r="D3" s="120"/>
      <c r="E3" s="120"/>
      <c r="F3" s="120"/>
      <c r="G3" s="120"/>
      <c r="H3" s="120"/>
      <c r="I3" s="163">
        <v>2.9</v>
      </c>
      <c r="J3" s="72">
        <v>2.5</v>
      </c>
      <c r="K3" s="204">
        <v>2</v>
      </c>
      <c r="L3" s="218" t="s">
        <v>1153</v>
      </c>
      <c r="M3" s="225" t="s">
        <v>1557</v>
      </c>
      <c r="N3" s="211" t="s">
        <v>1174</v>
      </c>
      <c r="O3" s="53" t="s">
        <v>525</v>
      </c>
      <c r="P3" s="221" t="s">
        <v>532</v>
      </c>
      <c r="Q3" s="324" t="s">
        <v>1360</v>
      </c>
      <c r="R3" s="320" t="s">
        <v>567</v>
      </c>
    </row>
    <row r="4" spans="1:20" ht="15" x14ac:dyDescent="0.25">
      <c r="A4" s="238" t="s">
        <v>26</v>
      </c>
      <c r="B4" s="115" t="s">
        <v>279</v>
      </c>
      <c r="F4" s="60"/>
      <c r="I4" s="163">
        <v>3.5</v>
      </c>
      <c r="J4" s="72">
        <v>3</v>
      </c>
      <c r="K4" s="204">
        <v>2.5</v>
      </c>
      <c r="L4" s="194" t="s">
        <v>1151</v>
      </c>
      <c r="M4" s="225" t="s">
        <v>1556</v>
      </c>
      <c r="N4" s="211" t="s">
        <v>1175</v>
      </c>
      <c r="O4" s="53" t="s">
        <v>526</v>
      </c>
      <c r="P4" s="221" t="s">
        <v>533</v>
      </c>
      <c r="Q4" s="324" t="s">
        <v>1361</v>
      </c>
      <c r="R4" s="320" t="s">
        <v>711</v>
      </c>
      <c r="T4" s="23"/>
    </row>
    <row r="5" spans="1:20" ht="15" x14ac:dyDescent="0.25">
      <c r="A5" s="37" t="s">
        <v>753</v>
      </c>
      <c r="B5" s="115" t="s">
        <v>30</v>
      </c>
      <c r="F5" s="60"/>
      <c r="I5" s="163">
        <v>3.9</v>
      </c>
      <c r="J5" s="72">
        <v>3.5</v>
      </c>
      <c r="K5" s="204">
        <v>3</v>
      </c>
      <c r="L5" s="218" t="s">
        <v>1152</v>
      </c>
      <c r="M5" s="225" t="s">
        <v>1558</v>
      </c>
      <c r="N5" s="212" t="s">
        <v>1176</v>
      </c>
      <c r="O5" s="53" t="s">
        <v>527</v>
      </c>
      <c r="P5" s="221" t="s">
        <v>535</v>
      </c>
      <c r="Q5" s="324" t="s">
        <v>1362</v>
      </c>
      <c r="R5" s="321" t="s">
        <v>560</v>
      </c>
      <c r="T5" s="9"/>
    </row>
    <row r="6" spans="1:20" ht="15" x14ac:dyDescent="0.25">
      <c r="A6" s="238" t="s">
        <v>27</v>
      </c>
      <c r="B6" s="115" t="s">
        <v>30</v>
      </c>
      <c r="F6" s="60"/>
      <c r="I6" s="163">
        <v>4.5</v>
      </c>
      <c r="J6" s="72">
        <v>4</v>
      </c>
      <c r="K6" s="204">
        <v>3.5</v>
      </c>
      <c r="L6" s="128"/>
      <c r="M6" s="225" t="s">
        <v>1559</v>
      </c>
      <c r="N6" s="212" t="s">
        <v>1177</v>
      </c>
      <c r="O6" s="53" t="s">
        <v>524</v>
      </c>
      <c r="P6" s="221" t="s">
        <v>534</v>
      </c>
      <c r="Q6" s="324" t="s">
        <v>1363</v>
      </c>
      <c r="R6" s="321" t="s">
        <v>597</v>
      </c>
    </row>
    <row r="7" spans="1:20" ht="15.75" thickBot="1" x14ac:dyDescent="0.3">
      <c r="A7" s="38" t="s">
        <v>28</v>
      </c>
      <c r="B7" s="161" t="s">
        <v>30</v>
      </c>
      <c r="F7" s="60"/>
      <c r="I7" s="163">
        <v>5</v>
      </c>
      <c r="J7" s="72">
        <v>4.5</v>
      </c>
      <c r="K7" s="204">
        <v>4</v>
      </c>
      <c r="L7" s="128"/>
      <c r="M7" s="225" t="s">
        <v>1560</v>
      </c>
      <c r="N7" s="212" t="s">
        <v>1178</v>
      </c>
      <c r="O7" s="53" t="s">
        <v>528</v>
      </c>
      <c r="P7" s="221" t="s">
        <v>536</v>
      </c>
      <c r="Q7" s="324" t="s">
        <v>1364</v>
      </c>
      <c r="R7" s="321" t="s">
        <v>573</v>
      </c>
      <c r="T7" s="9"/>
    </row>
    <row r="8" spans="1:20" ht="15.75" customHeight="1" thickBot="1" x14ac:dyDescent="0.3">
      <c r="A8" s="22"/>
      <c r="B8" s="11"/>
      <c r="F8" s="60"/>
      <c r="I8" s="165">
        <v>5.5</v>
      </c>
      <c r="J8" s="73">
        <v>5</v>
      </c>
      <c r="K8" s="205">
        <v>4.5</v>
      </c>
      <c r="L8" s="219"/>
      <c r="M8" s="226"/>
      <c r="N8" s="212" t="s">
        <v>1179</v>
      </c>
      <c r="O8" s="164" t="s">
        <v>529</v>
      </c>
      <c r="P8" s="221" t="s">
        <v>552</v>
      </c>
      <c r="Q8" s="324" t="s">
        <v>1365</v>
      </c>
      <c r="R8" s="321" t="s">
        <v>598</v>
      </c>
    </row>
    <row r="9" spans="1:20" ht="27" thickBot="1" x14ac:dyDescent="0.3">
      <c r="A9" s="70" t="s">
        <v>381</v>
      </c>
      <c r="F9" s="60"/>
      <c r="I9" s="165">
        <v>6</v>
      </c>
      <c r="J9" s="73">
        <v>5.5</v>
      </c>
      <c r="K9" s="205">
        <v>5</v>
      </c>
      <c r="L9" s="220"/>
      <c r="M9" s="227"/>
      <c r="N9" s="212" t="s">
        <v>1414</v>
      </c>
      <c r="O9" s="46"/>
      <c r="P9" s="222" t="s">
        <v>626</v>
      </c>
      <c r="Q9" s="324" t="s">
        <v>1366</v>
      </c>
      <c r="R9" s="321" t="s">
        <v>589</v>
      </c>
    </row>
    <row r="10" spans="1:20" ht="15" x14ac:dyDescent="0.25">
      <c r="A10" s="69">
        <v>3</v>
      </c>
      <c r="F10" s="60"/>
      <c r="I10" s="165">
        <v>6.5</v>
      </c>
      <c r="J10" s="73">
        <v>6</v>
      </c>
      <c r="K10" s="205">
        <v>5.5</v>
      </c>
      <c r="N10" s="211"/>
      <c r="O10" s="124" t="s">
        <v>722</v>
      </c>
      <c r="P10" s="101"/>
      <c r="Q10" s="324" t="s">
        <v>1367</v>
      </c>
      <c r="R10" s="321" t="s">
        <v>590</v>
      </c>
    </row>
    <row r="11" spans="1:20" ht="15" x14ac:dyDescent="0.25">
      <c r="A11" s="69">
        <v>4</v>
      </c>
      <c r="F11" s="60"/>
      <c r="I11" s="165">
        <v>12.5</v>
      </c>
      <c r="J11" s="73">
        <v>12</v>
      </c>
      <c r="K11" s="205">
        <v>11.5</v>
      </c>
      <c r="N11" s="211"/>
      <c r="O11" s="125" t="s">
        <v>1412</v>
      </c>
      <c r="P11" s="101"/>
      <c r="Q11" s="324" t="s">
        <v>1368</v>
      </c>
      <c r="R11" s="321" t="s">
        <v>583</v>
      </c>
    </row>
    <row r="12" spans="1:20" ht="15.75" thickBot="1" x14ac:dyDescent="0.3">
      <c r="A12" s="297" t="s">
        <v>1124</v>
      </c>
      <c r="F12" s="60"/>
      <c r="I12" s="165">
        <v>13</v>
      </c>
      <c r="J12" s="73">
        <v>12</v>
      </c>
      <c r="K12" s="205">
        <v>11.5</v>
      </c>
      <c r="N12" s="211"/>
      <c r="O12" s="125" t="s">
        <v>1180</v>
      </c>
      <c r="P12" s="101"/>
      <c r="Q12" s="324" t="s">
        <v>1369</v>
      </c>
      <c r="R12" s="321" t="s">
        <v>570</v>
      </c>
    </row>
    <row r="13" spans="1:20" ht="15.75" thickBot="1" x14ac:dyDescent="0.3">
      <c r="A13" s="171"/>
      <c r="F13" s="60"/>
      <c r="H13" s="165">
        <v>12.5</v>
      </c>
      <c r="I13" s="73"/>
      <c r="J13" s="205"/>
      <c r="K13" s="205"/>
      <c r="N13" s="102"/>
      <c r="O13" s="223" t="s">
        <v>1181</v>
      </c>
      <c r="P13" s="101"/>
      <c r="Q13" s="324" t="s">
        <v>1370</v>
      </c>
      <c r="R13" s="321" t="s">
        <v>592</v>
      </c>
    </row>
    <row r="14" spans="1:20" ht="15" x14ac:dyDescent="0.25">
      <c r="A14" s="171"/>
      <c r="E14" s="70" t="s">
        <v>638</v>
      </c>
      <c r="F14" s="44" t="s">
        <v>632</v>
      </c>
      <c r="G14" s="44" t="s">
        <v>639</v>
      </c>
      <c r="H14" s="44" t="s">
        <v>640</v>
      </c>
      <c r="I14" s="206" t="s">
        <v>630</v>
      </c>
      <c r="J14" s="207" t="s">
        <v>22</v>
      </c>
      <c r="K14" s="208" t="s">
        <v>395</v>
      </c>
      <c r="L14" s="210"/>
      <c r="M14" s="70" t="s">
        <v>281</v>
      </c>
      <c r="N14" s="32" t="s">
        <v>308</v>
      </c>
      <c r="O14" s="223" t="s">
        <v>1167</v>
      </c>
      <c r="P14" s="101"/>
      <c r="Q14" s="324" t="s">
        <v>1371</v>
      </c>
      <c r="R14" s="321" t="s">
        <v>593</v>
      </c>
    </row>
    <row r="15" spans="1:20" ht="15" x14ac:dyDescent="0.25">
      <c r="E15" s="85" t="s">
        <v>1129</v>
      </c>
      <c r="F15" s="189" t="s">
        <v>1510</v>
      </c>
      <c r="G15" s="189" t="s">
        <v>556</v>
      </c>
      <c r="H15" s="186" t="s">
        <v>556</v>
      </c>
      <c r="I15" s="186">
        <v>1</v>
      </c>
      <c r="J15" s="85" t="s">
        <v>1127</v>
      </c>
      <c r="K15" s="128" t="s">
        <v>396</v>
      </c>
      <c r="L15" s="67"/>
      <c r="M15" s="211" t="s">
        <v>1129</v>
      </c>
      <c r="N15" s="211" t="s">
        <v>1709</v>
      </c>
      <c r="O15" s="33"/>
      <c r="P15" s="101"/>
      <c r="Q15" s="324" t="s">
        <v>1372</v>
      </c>
      <c r="R15" s="321" t="s">
        <v>577</v>
      </c>
    </row>
    <row r="16" spans="1:20" ht="15.75" thickBot="1" x14ac:dyDescent="0.3">
      <c r="E16" s="85" t="s">
        <v>633</v>
      </c>
      <c r="F16" s="186" t="s">
        <v>1511</v>
      </c>
      <c r="G16" s="187" t="s">
        <v>557</v>
      </c>
      <c r="H16" s="166" t="s">
        <v>557</v>
      </c>
      <c r="I16" s="166">
        <v>2</v>
      </c>
      <c r="J16" s="190" t="s">
        <v>1126</v>
      </c>
      <c r="K16" s="194" t="s">
        <v>1482</v>
      </c>
      <c r="L16" s="209"/>
      <c r="M16" s="211" t="s">
        <v>676</v>
      </c>
      <c r="N16" s="228" t="s">
        <v>1710</v>
      </c>
      <c r="O16" s="57"/>
      <c r="P16" s="101"/>
      <c r="Q16" s="324" t="s">
        <v>1373</v>
      </c>
      <c r="R16" s="321" t="s">
        <v>607</v>
      </c>
    </row>
    <row r="17" spans="1:18" ht="15.75" thickBot="1" x14ac:dyDescent="0.3">
      <c r="A17" s="32" t="s">
        <v>278</v>
      </c>
      <c r="E17" s="190" t="s">
        <v>634</v>
      </c>
      <c r="F17" s="186" t="s">
        <v>1130</v>
      </c>
      <c r="G17" s="189"/>
      <c r="H17" s="189"/>
      <c r="I17" s="186">
        <v>3</v>
      </c>
      <c r="J17" s="190" t="s">
        <v>631</v>
      </c>
      <c r="K17" s="195" t="s">
        <v>1481</v>
      </c>
      <c r="L17" s="214" t="s">
        <v>684</v>
      </c>
      <c r="M17" s="211" t="s">
        <v>677</v>
      </c>
      <c r="N17" s="213" t="s">
        <v>1711</v>
      </c>
      <c r="Q17" s="324" t="s">
        <v>1374</v>
      </c>
      <c r="R17" s="321" t="s">
        <v>585</v>
      </c>
    </row>
    <row r="18" spans="1:18" ht="16.5" customHeight="1" x14ac:dyDescent="0.25">
      <c r="A18" s="322" t="s">
        <v>1494</v>
      </c>
      <c r="B18" s="70" t="s">
        <v>538</v>
      </c>
      <c r="C18" s="45" t="s">
        <v>280</v>
      </c>
      <c r="D18" s="32" t="s">
        <v>2</v>
      </c>
      <c r="E18" s="190" t="s">
        <v>1702</v>
      </c>
      <c r="F18" s="189"/>
      <c r="G18" s="166"/>
      <c r="H18" s="166"/>
      <c r="I18" s="166"/>
      <c r="J18" s="192"/>
      <c r="K18" s="195" t="s">
        <v>1480</v>
      </c>
      <c r="L18" s="34" t="s">
        <v>557</v>
      </c>
      <c r="M18" s="211" t="s">
        <v>1780</v>
      </c>
      <c r="N18" s="212" t="s">
        <v>1712</v>
      </c>
      <c r="Q18" s="324" t="s">
        <v>1375</v>
      </c>
      <c r="R18" s="321" t="s">
        <v>571</v>
      </c>
    </row>
    <row r="19" spans="1:18" ht="15.75" thickBot="1" x14ac:dyDescent="0.3">
      <c r="A19" s="34" t="s">
        <v>1495</v>
      </c>
      <c r="B19" s="125" t="s">
        <v>1577</v>
      </c>
      <c r="C19" s="348" t="s">
        <v>1581</v>
      </c>
      <c r="D19" s="39">
        <v>16.6666666666667</v>
      </c>
      <c r="E19" s="190" t="s">
        <v>635</v>
      </c>
      <c r="F19" s="188"/>
      <c r="G19" s="188"/>
      <c r="H19" s="188"/>
      <c r="I19" s="188"/>
      <c r="J19" s="191"/>
      <c r="K19" s="195" t="s">
        <v>627</v>
      </c>
      <c r="L19" s="200" t="s">
        <v>1167</v>
      </c>
      <c r="M19" s="212" t="s">
        <v>1691</v>
      </c>
      <c r="N19" s="212" t="s">
        <v>1713</v>
      </c>
      <c r="Q19" s="324" t="s">
        <v>1376</v>
      </c>
      <c r="R19" s="321" t="s">
        <v>572</v>
      </c>
    </row>
    <row r="20" spans="1:18" ht="15" x14ac:dyDescent="0.25">
      <c r="A20" s="34" t="s">
        <v>1496</v>
      </c>
      <c r="B20" s="125" t="s">
        <v>1578</v>
      </c>
      <c r="C20" s="348" t="s">
        <v>1582</v>
      </c>
      <c r="D20" s="39">
        <v>25</v>
      </c>
      <c r="E20" s="190" t="s">
        <v>636</v>
      </c>
      <c r="G20" s="199" t="s">
        <v>649</v>
      </c>
      <c r="H20" s="199" t="s">
        <v>660</v>
      </c>
      <c r="I20" s="199" t="s">
        <v>703</v>
      </c>
      <c r="K20" s="195" t="s">
        <v>420</v>
      </c>
      <c r="L20" s="200" t="s">
        <v>1168</v>
      </c>
      <c r="M20" s="212" t="s">
        <v>679</v>
      </c>
      <c r="N20" s="212" t="s">
        <v>1714</v>
      </c>
      <c r="Q20" s="324" t="s">
        <v>1377</v>
      </c>
      <c r="R20" s="321" t="s">
        <v>594</v>
      </c>
    </row>
    <row r="21" spans="1:18" ht="15.75" thickBot="1" x14ac:dyDescent="0.3">
      <c r="A21" s="34" t="s">
        <v>1497</v>
      </c>
      <c r="B21" s="125" t="s">
        <v>1579</v>
      </c>
      <c r="C21" s="348" t="s">
        <v>1583</v>
      </c>
      <c r="D21" s="40">
        <v>50</v>
      </c>
      <c r="E21" s="190" t="s">
        <v>637</v>
      </c>
      <c r="F21" s="8"/>
      <c r="G21" s="34" t="s">
        <v>646</v>
      </c>
      <c r="H21" s="34" t="s">
        <v>664</v>
      </c>
      <c r="I21" s="34" t="s">
        <v>706</v>
      </c>
      <c r="K21" s="195" t="s">
        <v>521</v>
      </c>
      <c r="L21" s="34"/>
      <c r="M21" s="212" t="s">
        <v>1592</v>
      </c>
      <c r="N21" s="212" t="s">
        <v>1715</v>
      </c>
      <c r="Q21" s="324" t="s">
        <v>1378</v>
      </c>
      <c r="R21" s="321" t="s">
        <v>609</v>
      </c>
    </row>
    <row r="22" spans="1:18" ht="15.75" thickBot="1" x14ac:dyDescent="0.3">
      <c r="A22" s="66" t="s">
        <v>1498</v>
      </c>
      <c r="B22" s="125" t="s">
        <v>1580</v>
      </c>
      <c r="C22" s="348" t="s">
        <v>1584</v>
      </c>
      <c r="D22" s="196">
        <v>60</v>
      </c>
      <c r="E22" s="197" t="s">
        <v>641</v>
      </c>
      <c r="F22" s="198"/>
      <c r="G22" s="200" t="s">
        <v>645</v>
      </c>
      <c r="H22" s="34" t="s">
        <v>662</v>
      </c>
      <c r="I22" s="200" t="s">
        <v>704</v>
      </c>
      <c r="K22" s="190" t="s">
        <v>522</v>
      </c>
      <c r="L22" s="57"/>
      <c r="M22" s="212" t="s">
        <v>680</v>
      </c>
      <c r="N22" s="212" t="s">
        <v>1716</v>
      </c>
      <c r="Q22" s="324" t="s">
        <v>1379</v>
      </c>
      <c r="R22" s="321" t="s">
        <v>584</v>
      </c>
    </row>
    <row r="23" spans="1:18" ht="15.75" thickBot="1" x14ac:dyDescent="0.3">
      <c r="A23" s="66" t="s">
        <v>619</v>
      </c>
      <c r="B23" s="125" t="s">
        <v>553</v>
      </c>
      <c r="C23" s="348" t="s">
        <v>1585</v>
      </c>
      <c r="D23" s="199" t="s">
        <v>650</v>
      </c>
      <c r="E23" s="193" t="s">
        <v>642</v>
      </c>
      <c r="G23" s="200" t="s">
        <v>524</v>
      </c>
      <c r="H23" s="34" t="s">
        <v>661</v>
      </c>
      <c r="I23" s="200" t="s">
        <v>705</v>
      </c>
      <c r="M23" s="212" t="s">
        <v>681</v>
      </c>
      <c r="N23" s="212" t="s">
        <v>1173</v>
      </c>
      <c r="Q23" s="324" t="s">
        <v>1380</v>
      </c>
      <c r="R23" s="321" t="s">
        <v>579</v>
      </c>
    </row>
    <row r="24" spans="1:18" ht="15.75" thickBot="1" x14ac:dyDescent="0.3">
      <c r="A24" s="66" t="s">
        <v>618</v>
      </c>
      <c r="B24" s="125" t="s">
        <v>554</v>
      </c>
      <c r="C24" s="348" t="s">
        <v>1587</v>
      </c>
      <c r="D24" s="34" t="s">
        <v>651</v>
      </c>
      <c r="E24" s="202" t="s">
        <v>643</v>
      </c>
      <c r="F24" s="120"/>
      <c r="G24" s="200" t="s">
        <v>747</v>
      </c>
      <c r="H24" s="55" t="s">
        <v>965</v>
      </c>
      <c r="I24" s="44" t="s">
        <v>44</v>
      </c>
      <c r="J24" s="32" t="s">
        <v>33</v>
      </c>
      <c r="K24" s="45" t="s">
        <v>32</v>
      </c>
      <c r="L24" s="47" t="s">
        <v>16</v>
      </c>
      <c r="M24" s="212" t="s">
        <v>361</v>
      </c>
      <c r="N24" s="212" t="s">
        <v>1414</v>
      </c>
      <c r="Q24" s="324" t="s">
        <v>1381</v>
      </c>
      <c r="R24" s="321" t="s">
        <v>588</v>
      </c>
    </row>
    <row r="25" spans="1:18" ht="15" x14ac:dyDescent="0.25">
      <c r="A25" s="34" t="s">
        <v>1119</v>
      </c>
      <c r="B25" s="125" t="s">
        <v>555</v>
      </c>
      <c r="C25" s="348" t="s">
        <v>1588</v>
      </c>
      <c r="D25" s="200" t="s">
        <v>652</v>
      </c>
      <c r="G25" s="200" t="s">
        <v>647</v>
      </c>
      <c r="H25" s="262"/>
      <c r="I25" s="52" t="s">
        <v>34</v>
      </c>
      <c r="J25" s="270" t="s">
        <v>39</v>
      </c>
      <c r="K25" s="53" t="s">
        <v>1543</v>
      </c>
      <c r="L25" s="189" t="s">
        <v>4</v>
      </c>
      <c r="M25" s="213" t="s">
        <v>1164</v>
      </c>
      <c r="N25" s="211"/>
      <c r="Q25" s="324" t="s">
        <v>1382</v>
      </c>
      <c r="R25" s="321" t="s">
        <v>599</v>
      </c>
    </row>
    <row r="26" spans="1:18" ht="15" x14ac:dyDescent="0.25">
      <c r="A26" s="34" t="s">
        <v>1120</v>
      </c>
      <c r="B26" s="125" t="s">
        <v>1125</v>
      </c>
      <c r="C26" s="349" t="s">
        <v>1586</v>
      </c>
      <c r="D26" s="33"/>
      <c r="G26" s="201" t="s">
        <v>648</v>
      </c>
      <c r="H26" s="130"/>
      <c r="I26" s="67" t="s">
        <v>513</v>
      </c>
      <c r="J26" s="270" t="s">
        <v>34</v>
      </c>
      <c r="K26" s="53" t="s">
        <v>1544</v>
      </c>
      <c r="L26" s="52" t="s">
        <v>17</v>
      </c>
      <c r="M26" s="213" t="s">
        <v>1269</v>
      </c>
      <c r="N26" s="211"/>
      <c r="Q26" s="324" t="s">
        <v>1383</v>
      </c>
      <c r="R26" s="321" t="s">
        <v>569</v>
      </c>
    </row>
    <row r="27" spans="1:18" ht="15.75" thickBot="1" x14ac:dyDescent="0.3">
      <c r="A27" s="34" t="s">
        <v>1121</v>
      </c>
      <c r="B27" s="161"/>
      <c r="C27" s="46"/>
      <c r="D27" s="57"/>
      <c r="E27" s="2" t="s">
        <v>419</v>
      </c>
      <c r="G27" s="217" t="s">
        <v>1787</v>
      </c>
      <c r="H27" s="234"/>
      <c r="I27" s="272" t="s">
        <v>38</v>
      </c>
      <c r="J27" s="270" t="s">
        <v>35</v>
      </c>
      <c r="K27" s="53" t="s">
        <v>1545</v>
      </c>
      <c r="L27" s="189" t="s">
        <v>18</v>
      </c>
      <c r="M27" s="212" t="s">
        <v>682</v>
      </c>
      <c r="N27" s="228"/>
      <c r="Q27" s="324" t="s">
        <v>1384</v>
      </c>
      <c r="R27" s="321" t="s">
        <v>591</v>
      </c>
    </row>
    <row r="28" spans="1:18" ht="15.75" thickBot="1" x14ac:dyDescent="0.3">
      <c r="A28" s="34" t="s">
        <v>1122</v>
      </c>
      <c r="B28" s="67"/>
      <c r="E28" s="117" t="s">
        <v>417</v>
      </c>
      <c r="F28" s="95"/>
      <c r="G28" s="118"/>
      <c r="H28" s="263"/>
      <c r="I28" s="67" t="s">
        <v>514</v>
      </c>
      <c r="J28" s="115" t="s">
        <v>36</v>
      </c>
      <c r="K28" s="53" t="s">
        <v>1546</v>
      </c>
      <c r="L28" s="186" t="s">
        <v>19</v>
      </c>
      <c r="M28" s="54"/>
      <c r="N28" s="211"/>
      <c r="Q28" s="324" t="s">
        <v>1385</v>
      </c>
      <c r="R28" s="321" t="s">
        <v>586</v>
      </c>
    </row>
    <row r="29" spans="1:18" ht="15.75" thickBot="1" x14ac:dyDescent="0.3">
      <c r="A29" s="34" t="s">
        <v>1123</v>
      </c>
      <c r="E29" s="54">
        <f>F29</f>
        <v>0</v>
      </c>
      <c r="G29" s="50"/>
      <c r="H29" s="262" t="s">
        <v>685</v>
      </c>
      <c r="I29" s="189" t="s">
        <v>1118</v>
      </c>
      <c r="J29" s="115" t="s">
        <v>37</v>
      </c>
      <c r="K29" s="53" t="s">
        <v>1547</v>
      </c>
      <c r="L29" s="186" t="s">
        <v>21</v>
      </c>
      <c r="M29" s="54"/>
      <c r="N29" s="33"/>
      <c r="Q29" s="324" t="s">
        <v>1386</v>
      </c>
      <c r="R29" s="321" t="s">
        <v>608</v>
      </c>
    </row>
    <row r="30" spans="1:18" ht="15.75" thickBot="1" x14ac:dyDescent="0.3">
      <c r="A30" s="34" t="s">
        <v>354</v>
      </c>
      <c r="C30" s="107" t="s">
        <v>404</v>
      </c>
      <c r="E30" s="119" t="s">
        <v>418</v>
      </c>
      <c r="F30" s="120"/>
      <c r="G30" s="50"/>
      <c r="H30" s="130" t="s">
        <v>1169</v>
      </c>
      <c r="I30" s="52" t="s">
        <v>55</v>
      </c>
      <c r="J30" s="115" t="s">
        <v>38</v>
      </c>
      <c r="K30" s="53" t="s">
        <v>1548</v>
      </c>
      <c r="L30" s="186" t="s">
        <v>20</v>
      </c>
      <c r="M30" s="350" t="s">
        <v>1601</v>
      </c>
      <c r="N30" s="33"/>
      <c r="Q30" s="324" t="s">
        <v>1387</v>
      </c>
      <c r="R30" s="321" t="s">
        <v>603</v>
      </c>
    </row>
    <row r="31" spans="1:18" ht="15.75" thickBot="1" x14ac:dyDescent="0.3">
      <c r="A31" s="34" t="s">
        <v>1499</v>
      </c>
      <c r="C31" s="102" t="str">
        <f>IFERROR('DB GIF'!#REF!*'DB GIF'!#REF!,"")</f>
        <v/>
      </c>
      <c r="E31" s="117" t="s">
        <v>730</v>
      </c>
      <c r="F31" s="214" t="s">
        <v>743</v>
      </c>
      <c r="G31" s="160" t="s">
        <v>700</v>
      </c>
      <c r="H31" s="264" t="s">
        <v>1166</v>
      </c>
      <c r="I31" s="67" t="s">
        <v>537</v>
      </c>
      <c r="J31" s="115" t="s">
        <v>49</v>
      </c>
      <c r="K31" s="53" t="s">
        <v>1549</v>
      </c>
      <c r="L31" s="216" t="s">
        <v>518</v>
      </c>
      <c r="M31" s="130" t="s">
        <v>676</v>
      </c>
      <c r="N31" s="33"/>
      <c r="Q31" s="324" t="s">
        <v>1388</v>
      </c>
      <c r="R31" s="321" t="s">
        <v>587</v>
      </c>
    </row>
    <row r="32" spans="1:18" ht="15" x14ac:dyDescent="0.25">
      <c r="A32" s="2" t="s">
        <v>1785</v>
      </c>
      <c r="E32" s="234" t="s">
        <v>42</v>
      </c>
      <c r="F32" s="33">
        <v>10</v>
      </c>
      <c r="G32" s="235" t="s">
        <v>695</v>
      </c>
      <c r="H32" s="264" t="s">
        <v>1165</v>
      </c>
      <c r="I32" s="52" t="s">
        <v>50</v>
      </c>
      <c r="J32" s="115" t="s">
        <v>51</v>
      </c>
      <c r="K32" s="53" t="s">
        <v>1550</v>
      </c>
      <c r="L32" s="216" t="s">
        <v>551</v>
      </c>
      <c r="M32" s="130" t="s">
        <v>1691</v>
      </c>
      <c r="N32" s="124" t="s">
        <v>512</v>
      </c>
      <c r="Q32" s="324" t="s">
        <v>1389</v>
      </c>
      <c r="R32" s="321" t="s">
        <v>582</v>
      </c>
    </row>
    <row r="33" spans="1:22" ht="15.75" thickBot="1" x14ac:dyDescent="0.3">
      <c r="A33" s="34"/>
      <c r="E33" s="234" t="s">
        <v>724</v>
      </c>
      <c r="F33" s="33">
        <v>20</v>
      </c>
      <c r="G33" s="235" t="s">
        <v>696</v>
      </c>
      <c r="H33" s="264"/>
      <c r="I33" s="67" t="s">
        <v>1117</v>
      </c>
      <c r="J33" s="115" t="s">
        <v>52</v>
      </c>
      <c r="K33" s="53" t="s">
        <v>363</v>
      </c>
      <c r="L33" s="216" t="s">
        <v>1589</v>
      </c>
      <c r="M33" s="130" t="s">
        <v>678</v>
      </c>
      <c r="N33" s="125" t="s">
        <v>1157</v>
      </c>
      <c r="Q33" s="324" t="s">
        <v>1390</v>
      </c>
      <c r="R33" s="321" t="s">
        <v>576</v>
      </c>
    </row>
    <row r="34" spans="1:22" ht="15" x14ac:dyDescent="0.25">
      <c r="A34" s="34"/>
      <c r="C34" s="843" t="s">
        <v>510</v>
      </c>
      <c r="D34" s="844"/>
      <c r="E34" s="234" t="s">
        <v>726</v>
      </c>
      <c r="F34" s="33">
        <v>30</v>
      </c>
      <c r="G34" s="235" t="s">
        <v>697</v>
      </c>
      <c r="H34" s="265" t="s">
        <v>690</v>
      </c>
      <c r="I34" s="52" t="s">
        <v>35</v>
      </c>
      <c r="J34" s="115" t="s">
        <v>55</v>
      </c>
      <c r="K34" s="53" t="s">
        <v>1551</v>
      </c>
      <c r="L34" s="216" t="s">
        <v>1605</v>
      </c>
      <c r="M34" s="130" t="s">
        <v>1602</v>
      </c>
      <c r="N34" s="125" t="s">
        <v>1156</v>
      </c>
      <c r="Q34" s="324" t="s">
        <v>1391</v>
      </c>
      <c r="R34" s="321" t="s">
        <v>562</v>
      </c>
    </row>
    <row r="35" spans="1:22" ht="15" x14ac:dyDescent="0.25">
      <c r="A35" s="34"/>
      <c r="C35" s="121" t="str">
        <f>'DB GIF'!D$64</f>
        <v>If applicable choose here:</v>
      </c>
      <c r="D35" s="128" t="s">
        <v>511</v>
      </c>
      <c r="E35" s="234" t="s">
        <v>727</v>
      </c>
      <c r="F35" s="33">
        <v>40</v>
      </c>
      <c r="G35" s="235" t="s">
        <v>698</v>
      </c>
      <c r="H35" s="266" t="s">
        <v>688</v>
      </c>
      <c r="I35" s="52" t="s">
        <v>39</v>
      </c>
      <c r="J35" s="115" t="s">
        <v>309</v>
      </c>
      <c r="K35" s="53" t="s">
        <v>362</v>
      </c>
      <c r="L35" s="216" t="s">
        <v>1781</v>
      </c>
      <c r="M35" s="130" t="s">
        <v>1164</v>
      </c>
      <c r="N35" s="125" t="s">
        <v>1155</v>
      </c>
      <c r="Q35" s="324" t="s">
        <v>1565</v>
      </c>
      <c r="R35" s="321" t="s">
        <v>563</v>
      </c>
    </row>
    <row r="36" spans="1:22" ht="15.75" thickBot="1" x14ac:dyDescent="0.3">
      <c r="A36" s="35"/>
      <c r="C36" s="121">
        <f>'DB GIF'!E$64</f>
        <v>0</v>
      </c>
      <c r="D36" s="128" t="s">
        <v>511</v>
      </c>
      <c r="E36" s="234" t="s">
        <v>728</v>
      </c>
      <c r="F36" s="33">
        <v>50</v>
      </c>
      <c r="G36" s="236" t="s">
        <v>699</v>
      </c>
      <c r="H36" s="266" t="s">
        <v>689</v>
      </c>
      <c r="I36" s="272" t="s">
        <v>45</v>
      </c>
      <c r="J36" s="125" t="s">
        <v>513</v>
      </c>
      <c r="K36" s="53" t="s">
        <v>1552</v>
      </c>
      <c r="L36" s="88"/>
      <c r="M36" s="130" t="s">
        <v>1269</v>
      </c>
      <c r="N36" s="211"/>
      <c r="Q36" s="324" t="s">
        <v>1566</v>
      </c>
      <c r="R36" s="321" t="s">
        <v>561</v>
      </c>
    </row>
    <row r="37" spans="1:22" ht="15.75" thickBot="1" x14ac:dyDescent="0.3">
      <c r="C37" s="121">
        <f>'DB GIF'!F$64</f>
        <v>0</v>
      </c>
      <c r="D37" s="128" t="s">
        <v>511</v>
      </c>
      <c r="E37" s="234" t="s">
        <v>729</v>
      </c>
      <c r="F37" s="33">
        <v>60</v>
      </c>
      <c r="H37" s="267" t="s">
        <v>1170</v>
      </c>
      <c r="I37" s="272" t="s">
        <v>46</v>
      </c>
      <c r="J37" s="125" t="s">
        <v>514</v>
      </c>
      <c r="K37" s="53" t="s">
        <v>1553</v>
      </c>
      <c r="L37" s="88"/>
      <c r="M37" s="130" t="s">
        <v>682</v>
      </c>
      <c r="N37" s="301"/>
      <c r="Q37" s="324" t="s">
        <v>1567</v>
      </c>
      <c r="R37" s="321" t="s">
        <v>604</v>
      </c>
    </row>
    <row r="38" spans="1:22" ht="15.75" thickBot="1" x14ac:dyDescent="0.3">
      <c r="C38" s="121">
        <f>'DB GIF'!G$64</f>
        <v>0</v>
      </c>
      <c r="D38" s="128" t="s">
        <v>511</v>
      </c>
      <c r="E38" s="54"/>
      <c r="F38" s="33">
        <v>70</v>
      </c>
      <c r="H38" s="268" t="s">
        <v>1171</v>
      </c>
      <c r="I38" s="272" t="s">
        <v>47</v>
      </c>
      <c r="J38" s="34"/>
      <c r="K38" s="53" t="s">
        <v>519</v>
      </c>
      <c r="L38" s="88"/>
      <c r="M38" s="33"/>
      <c r="N38" s="338" t="s">
        <v>1503</v>
      </c>
      <c r="Q38" s="324" t="s">
        <v>1562</v>
      </c>
      <c r="R38" s="321" t="s">
        <v>605</v>
      </c>
    </row>
    <row r="39" spans="1:22" ht="15.75" thickBot="1" x14ac:dyDescent="0.3">
      <c r="A39" s="6" t="s">
        <v>556</v>
      </c>
      <c r="B39" s="124" t="s">
        <v>530</v>
      </c>
      <c r="C39" s="121">
        <f>'DB GIF'!H$64</f>
        <v>0</v>
      </c>
      <c r="D39" s="128" t="s">
        <v>511</v>
      </c>
      <c r="E39" s="241" t="s">
        <v>41</v>
      </c>
      <c r="F39" s="50">
        <v>80</v>
      </c>
      <c r="H39" s="269" t="s">
        <v>1172</v>
      </c>
      <c r="I39" s="272" t="s">
        <v>48</v>
      </c>
      <c r="J39" s="271"/>
      <c r="K39" s="53" t="s">
        <v>1554</v>
      </c>
      <c r="L39" s="88"/>
      <c r="M39" s="33"/>
      <c r="N39" s="211" t="s">
        <v>4</v>
      </c>
      <c r="Q39" s="324" t="s">
        <v>1563</v>
      </c>
      <c r="R39" s="321" t="s">
        <v>574</v>
      </c>
    </row>
    <row r="40" spans="1:22" ht="15.75" thickBot="1" x14ac:dyDescent="0.3">
      <c r="A40" s="6" t="s">
        <v>557</v>
      </c>
      <c r="B40" s="125" t="s">
        <v>517</v>
      </c>
      <c r="C40" s="121" t="str">
        <f>'DB GIF'!D$103</f>
        <v>K</v>
      </c>
      <c r="D40" s="128" t="s">
        <v>511</v>
      </c>
      <c r="E40" s="33">
        <v>15</v>
      </c>
      <c r="F40">
        <v>90</v>
      </c>
      <c r="G40" s="199" t="s">
        <v>673</v>
      </c>
      <c r="H40" s="298" t="s">
        <v>1131</v>
      </c>
      <c r="I40" s="67" t="s">
        <v>37</v>
      </c>
      <c r="J40" s="271"/>
      <c r="K40" s="53" t="s">
        <v>520</v>
      </c>
      <c r="L40" s="90"/>
      <c r="M40" s="33"/>
      <c r="N40" s="211" t="s">
        <v>1504</v>
      </c>
      <c r="Q40" s="324" t="s">
        <v>1564</v>
      </c>
      <c r="R40" s="321" t="s">
        <v>580</v>
      </c>
    </row>
    <row r="41" spans="1:22" ht="15.75" thickBot="1" x14ac:dyDescent="0.3">
      <c r="B41" s="126" t="s">
        <v>1782</v>
      </c>
      <c r="C41" s="121">
        <f>'DB GIF'!E$103</f>
        <v>0</v>
      </c>
      <c r="D41" s="128" t="s">
        <v>511</v>
      </c>
      <c r="E41" s="33"/>
      <c r="F41">
        <v>100</v>
      </c>
      <c r="G41" s="34" t="s">
        <v>1129</v>
      </c>
      <c r="H41" s="268" t="s">
        <v>1137</v>
      </c>
      <c r="I41" s="67"/>
      <c r="J41" s="271"/>
      <c r="K41" s="53" t="s">
        <v>1555</v>
      </c>
      <c r="M41" s="57"/>
      <c r="N41" s="211" t="s">
        <v>1506</v>
      </c>
      <c r="Q41" s="324" t="s">
        <v>1392</v>
      </c>
      <c r="R41" s="321" t="s">
        <v>565</v>
      </c>
    </row>
    <row r="42" spans="1:22" ht="15.75" thickBot="1" x14ac:dyDescent="0.3">
      <c r="C42" s="121">
        <f>'DB GIF'!F$103</f>
        <v>0</v>
      </c>
      <c r="D42" s="128" t="s">
        <v>511</v>
      </c>
      <c r="E42" s="57"/>
      <c r="F42">
        <v>110</v>
      </c>
      <c r="G42" s="34" t="s">
        <v>1158</v>
      </c>
      <c r="H42" s="234" t="s">
        <v>1132</v>
      </c>
      <c r="I42" s="130"/>
      <c r="J42" s="271"/>
      <c r="K42" s="50"/>
      <c r="M42" s="124" t="s">
        <v>777</v>
      </c>
      <c r="N42" s="301" t="s">
        <v>1505</v>
      </c>
      <c r="O42" s="9"/>
      <c r="P42" s="9"/>
      <c r="Q42" s="324" t="s">
        <v>1393</v>
      </c>
      <c r="R42" s="321" t="s">
        <v>578</v>
      </c>
      <c r="T42" s="9"/>
      <c r="U42" s="9"/>
      <c r="V42" s="9"/>
    </row>
    <row r="43" spans="1:22" ht="15" x14ac:dyDescent="0.25">
      <c r="B43" t="b">
        <f>OR('DB GIF'!D64="K",'DB GIF'!E64="K",'DB GIF'!F64="K",'DB GIF'!G64="K",'DB GIF'!H64="K",'DB GIF'!D103="K",'DB GIF'!E103="K",'DB GIF'!F103="K",'DB GIF'!G103="K",'DB GIF'!H103="K",I86="K",J86="K")</f>
        <v>1</v>
      </c>
      <c r="C43" s="121">
        <f>'DB GIF'!G$103</f>
        <v>0</v>
      </c>
      <c r="D43" s="128" t="s">
        <v>511</v>
      </c>
      <c r="E43" s="241" t="s">
        <v>759</v>
      </c>
      <c r="F43">
        <v>120</v>
      </c>
      <c r="G43" s="200" t="s">
        <v>1160</v>
      </c>
      <c r="H43" s="234" t="s">
        <v>1133</v>
      </c>
      <c r="I43" s="130"/>
      <c r="J43" s="33"/>
      <c r="K43" s="50"/>
      <c r="M43" s="34" t="s">
        <v>1129</v>
      </c>
      <c r="N43" s="339" t="s">
        <v>1537</v>
      </c>
      <c r="O43" s="28"/>
      <c r="P43" s="9"/>
      <c r="Q43" s="324" t="s">
        <v>1394</v>
      </c>
      <c r="R43" s="321" t="s">
        <v>610</v>
      </c>
      <c r="U43" s="9"/>
      <c r="V43" s="9"/>
    </row>
    <row r="44" spans="1:22" ht="15" x14ac:dyDescent="0.25">
      <c r="B44" s="9" t="str">
        <f>IF(B43="FALSCH","","S")</f>
        <v>S</v>
      </c>
      <c r="C44" s="121">
        <f>'DB GIF'!H$103</f>
        <v>0</v>
      </c>
      <c r="D44" s="128" t="s">
        <v>511</v>
      </c>
      <c r="E44" s="33">
        <v>2</v>
      </c>
      <c r="F44">
        <v>130</v>
      </c>
      <c r="G44" s="240" t="s">
        <v>1159</v>
      </c>
      <c r="H44" s="234" t="s">
        <v>1134</v>
      </c>
      <c r="I44" s="130"/>
      <c r="J44" s="33"/>
      <c r="K44" s="50"/>
      <c r="M44" s="200" t="s">
        <v>778</v>
      </c>
      <c r="N44" s="340" t="s">
        <v>1538</v>
      </c>
      <c r="Q44" s="324" t="s">
        <v>1395</v>
      </c>
      <c r="R44" s="321" t="s">
        <v>600</v>
      </c>
    </row>
    <row r="45" spans="1:22" ht="15" x14ac:dyDescent="0.25">
      <c r="C45" s="121">
        <f>'DB GIF'!I$103</f>
        <v>0</v>
      </c>
      <c r="D45" s="128" t="s">
        <v>511</v>
      </c>
      <c r="E45" s="33"/>
      <c r="F45">
        <v>140</v>
      </c>
      <c r="G45" s="34" t="s">
        <v>1161</v>
      </c>
      <c r="H45" s="234" t="s">
        <v>1135</v>
      </c>
      <c r="I45" s="130"/>
      <c r="J45" s="33"/>
      <c r="K45" s="50"/>
      <c r="M45" s="200" t="s">
        <v>964</v>
      </c>
      <c r="N45" s="340" t="s">
        <v>1526</v>
      </c>
      <c r="Q45" s="324" t="s">
        <v>1396</v>
      </c>
      <c r="R45" s="321" t="s">
        <v>601</v>
      </c>
    </row>
    <row r="46" spans="1:22" ht="15.75" thickBot="1" x14ac:dyDescent="0.3">
      <c r="C46" s="122">
        <f>'DB GIF'!J$103</f>
        <v>0</v>
      </c>
      <c r="D46" s="242" t="s">
        <v>511</v>
      </c>
      <c r="E46" s="57"/>
      <c r="F46">
        <v>150</v>
      </c>
      <c r="G46" s="200" t="s">
        <v>1162</v>
      </c>
      <c r="H46" s="234" t="s">
        <v>1136</v>
      </c>
      <c r="I46" s="54"/>
      <c r="J46" s="33"/>
      <c r="K46" s="50"/>
      <c r="M46" s="34"/>
      <c r="N46" s="340" t="s">
        <v>1527</v>
      </c>
      <c r="Q46" s="324" t="s">
        <v>1397</v>
      </c>
      <c r="R46" s="321" t="s">
        <v>602</v>
      </c>
    </row>
    <row r="47" spans="1:22" ht="15.75" thickBot="1" x14ac:dyDescent="0.3">
      <c r="C47" s="123" t="str">
        <f>IFERROR(VLOOKUP("K",C35:D46,2,FALSE),"")</f>
        <v>S</v>
      </c>
      <c r="F47" s="33">
        <v>160</v>
      </c>
      <c r="G47" s="217" t="s">
        <v>1163</v>
      </c>
      <c r="I47" s="54"/>
      <c r="J47" s="33"/>
      <c r="K47" s="50"/>
      <c r="M47" s="33"/>
      <c r="N47" s="340"/>
      <c r="Q47" s="324" t="s">
        <v>1398</v>
      </c>
      <c r="R47" s="321" t="s">
        <v>606</v>
      </c>
    </row>
    <row r="48" spans="1:22" ht="15.75" thickBot="1" x14ac:dyDescent="0.3">
      <c r="F48" s="33">
        <v>170</v>
      </c>
      <c r="G48" s="214" t="s">
        <v>779</v>
      </c>
      <c r="H48" s="117" t="s">
        <v>780</v>
      </c>
      <c r="I48" s="54"/>
      <c r="J48" s="33"/>
      <c r="K48" s="46"/>
      <c r="M48" s="33"/>
      <c r="N48" s="211"/>
      <c r="Q48" s="324" t="s">
        <v>1399</v>
      </c>
      <c r="R48" s="321" t="s">
        <v>564</v>
      </c>
    </row>
    <row r="49" spans="1:18" ht="15" x14ac:dyDescent="0.25">
      <c r="B49" s="9"/>
      <c r="F49" s="33">
        <v>180</v>
      </c>
      <c r="G49" s="34" t="s">
        <v>781</v>
      </c>
      <c r="H49" s="54">
        <v>1</v>
      </c>
      <c r="I49" s="54"/>
      <c r="J49" s="33"/>
      <c r="M49" s="33"/>
      <c r="N49" s="211"/>
      <c r="Q49" s="324" t="s">
        <v>1400</v>
      </c>
      <c r="R49" s="321" t="s">
        <v>581</v>
      </c>
    </row>
    <row r="50" spans="1:18" ht="15" x14ac:dyDescent="0.25">
      <c r="B50" s="9">
        <v>2</v>
      </c>
      <c r="E50" s="2" t="s">
        <v>1788</v>
      </c>
      <c r="F50" s="33">
        <v>190</v>
      </c>
      <c r="G50" s="34" t="s">
        <v>782</v>
      </c>
      <c r="H50" s="54">
        <v>2</v>
      </c>
      <c r="I50" s="54"/>
      <c r="J50" s="33"/>
      <c r="M50" s="33"/>
      <c r="N50" s="211"/>
      <c r="Q50" s="324" t="s">
        <v>1401</v>
      </c>
      <c r="R50" s="321" t="s">
        <v>568</v>
      </c>
    </row>
    <row r="51" spans="1:18" ht="15.75" thickBot="1" x14ac:dyDescent="0.3">
      <c r="A51" s="128" t="s">
        <v>542</v>
      </c>
      <c r="E51" s="2" t="s">
        <v>1789</v>
      </c>
      <c r="F51" s="33">
        <v>200</v>
      </c>
      <c r="G51" s="34" t="s">
        <v>783</v>
      </c>
      <c r="H51" s="54">
        <v>3</v>
      </c>
      <c r="I51" s="54"/>
      <c r="J51" s="33"/>
      <c r="M51" s="33"/>
      <c r="N51" s="301"/>
      <c r="Q51" s="324" t="s">
        <v>1359</v>
      </c>
      <c r="R51" s="321" t="s">
        <v>575</v>
      </c>
    </row>
    <row r="52" spans="1:18" ht="15" x14ac:dyDescent="0.25">
      <c r="A52" s="128" t="s">
        <v>543</v>
      </c>
      <c r="E52" s="2" t="s">
        <v>1790</v>
      </c>
      <c r="F52" s="33">
        <v>210</v>
      </c>
      <c r="G52" s="34" t="s">
        <v>784</v>
      </c>
      <c r="H52" s="54">
        <v>4</v>
      </c>
      <c r="I52" s="54"/>
      <c r="J52" s="33"/>
      <c r="M52" s="33"/>
      <c r="N52" s="101"/>
      <c r="Q52" s="324" t="s">
        <v>1402</v>
      </c>
      <c r="R52" s="321" t="s">
        <v>595</v>
      </c>
    </row>
    <row r="53" spans="1:18" ht="15" x14ac:dyDescent="0.25">
      <c r="F53" s="33">
        <v>220</v>
      </c>
      <c r="G53" s="34" t="s">
        <v>785</v>
      </c>
      <c r="H53" s="54">
        <v>5</v>
      </c>
      <c r="I53" s="54"/>
      <c r="J53" s="33"/>
      <c r="M53" s="33"/>
      <c r="N53" s="9"/>
      <c r="Q53" s="324" t="s">
        <v>1783</v>
      </c>
      <c r="R53" s="321" t="s">
        <v>596</v>
      </c>
    </row>
    <row r="54" spans="1:18" ht="15.75" thickBot="1" x14ac:dyDescent="0.3">
      <c r="F54" s="33">
        <v>230</v>
      </c>
      <c r="G54" s="34" t="s">
        <v>786</v>
      </c>
      <c r="H54" s="54">
        <v>14</v>
      </c>
      <c r="I54" s="54"/>
      <c r="J54" s="33"/>
      <c r="M54" s="57"/>
      <c r="N54" s="9"/>
      <c r="Q54" s="324" t="s">
        <v>1404</v>
      </c>
      <c r="R54" s="321" t="s">
        <v>566</v>
      </c>
    </row>
    <row r="55" spans="1:18" ht="15" x14ac:dyDescent="0.25">
      <c r="F55" s="33">
        <v>240</v>
      </c>
      <c r="G55" s="34"/>
      <c r="H55" s="130">
        <v>15</v>
      </c>
      <c r="I55" s="54"/>
      <c r="J55" s="33"/>
      <c r="N55" s="2"/>
      <c r="Q55" s="324" t="s">
        <v>1403</v>
      </c>
      <c r="R55" s="320" t="s">
        <v>628</v>
      </c>
    </row>
    <row r="56" spans="1:18" ht="15" x14ac:dyDescent="0.25">
      <c r="F56" s="33">
        <v>250</v>
      </c>
      <c r="G56" s="34"/>
      <c r="H56" s="130"/>
      <c r="I56" s="54"/>
      <c r="J56" s="33"/>
      <c r="Q56" s="324" t="s">
        <v>1405</v>
      </c>
      <c r="R56" s="320" t="s">
        <v>1417</v>
      </c>
    </row>
    <row r="57" spans="1:18" ht="15" x14ac:dyDescent="0.25">
      <c r="E57" s="414"/>
      <c r="F57" s="33">
        <v>260</v>
      </c>
      <c r="G57" s="34"/>
      <c r="H57" s="130"/>
      <c r="I57" s="54"/>
      <c r="J57" s="33"/>
      <c r="Q57" s="324" t="s">
        <v>1406</v>
      </c>
      <c r="R57" s="321"/>
    </row>
    <row r="58" spans="1:18" ht="15.75" thickBot="1" x14ac:dyDescent="0.3">
      <c r="F58" s="33">
        <v>270</v>
      </c>
      <c r="G58" s="248"/>
      <c r="H58" s="119"/>
      <c r="I58" s="119"/>
      <c r="J58" s="248"/>
      <c r="K58" s="2"/>
      <c r="Q58" s="324" t="s">
        <v>1407</v>
      </c>
      <c r="R58" s="320"/>
    </row>
    <row r="59" spans="1:18" ht="15.75" thickBot="1" x14ac:dyDescent="0.3">
      <c r="E59" s="214" t="s">
        <v>1794</v>
      </c>
      <c r="F59" s="54">
        <v>280</v>
      </c>
      <c r="G59" s="299"/>
      <c r="H59" s="214"/>
      <c r="I59" s="214"/>
      <c r="J59" s="34" t="s">
        <v>1149</v>
      </c>
      <c r="K59" s="2"/>
      <c r="Q59" s="324" t="s">
        <v>1418</v>
      </c>
      <c r="R59" s="329"/>
    </row>
    <row r="60" spans="1:18" x14ac:dyDescent="0.2">
      <c r="E60" s="415" t="s">
        <v>1792</v>
      </c>
      <c r="F60" s="54">
        <v>290</v>
      </c>
      <c r="G60" s="34" t="s">
        <v>1137</v>
      </c>
      <c r="H60" s="34" t="s">
        <v>1137</v>
      </c>
      <c r="I60" s="34"/>
      <c r="J60" s="34" t="s">
        <v>1150</v>
      </c>
      <c r="Q60"/>
    </row>
    <row r="61" spans="1:18" ht="15" thickBot="1" x14ac:dyDescent="0.25">
      <c r="E61" s="248" t="s">
        <v>1795</v>
      </c>
      <c r="F61" s="55">
        <v>300</v>
      </c>
      <c r="G61" s="34" t="s">
        <v>1138</v>
      </c>
      <c r="H61" s="34" t="s">
        <v>1142</v>
      </c>
      <c r="I61" s="34"/>
      <c r="J61" s="34"/>
    </row>
    <row r="62" spans="1:18" x14ac:dyDescent="0.2">
      <c r="G62" s="34" t="s">
        <v>1139</v>
      </c>
      <c r="H62" s="34" t="s">
        <v>1141</v>
      </c>
      <c r="I62" s="34"/>
      <c r="J62" s="33"/>
    </row>
    <row r="63" spans="1:18" x14ac:dyDescent="0.2">
      <c r="G63" s="34" t="s">
        <v>1140</v>
      </c>
      <c r="H63" s="34" t="s">
        <v>1143</v>
      </c>
      <c r="I63" s="34"/>
      <c r="J63" s="33"/>
    </row>
    <row r="64" spans="1:18" x14ac:dyDescent="0.2">
      <c r="G64" s="33"/>
      <c r="H64" s="34" t="s">
        <v>1144</v>
      </c>
      <c r="I64" s="34"/>
      <c r="J64" s="33"/>
    </row>
    <row r="65" spans="1:10" ht="15" thickBot="1" x14ac:dyDescent="0.25">
      <c r="A65" s="181"/>
      <c r="G65" s="33"/>
      <c r="H65" s="34" t="s">
        <v>1147</v>
      </c>
      <c r="I65" s="33"/>
      <c r="J65" s="57"/>
    </row>
    <row r="66" spans="1:10" x14ac:dyDescent="0.2">
      <c r="A66" s="181"/>
      <c r="G66" s="33"/>
      <c r="H66" s="34" t="s">
        <v>1145</v>
      </c>
      <c r="I66" s="33"/>
    </row>
    <row r="67" spans="1:10" x14ac:dyDescent="0.2">
      <c r="E67" s="2"/>
      <c r="G67" s="33"/>
      <c r="H67" s="34" t="s">
        <v>1146</v>
      </c>
      <c r="I67" s="33"/>
    </row>
    <row r="68" spans="1:10" x14ac:dyDescent="0.2">
      <c r="G68" s="33"/>
      <c r="H68" s="34"/>
      <c r="I68" s="33"/>
    </row>
    <row r="69" spans="1:10" ht="15" thickBot="1" x14ac:dyDescent="0.25">
      <c r="G69" s="57"/>
      <c r="H69" s="248"/>
      <c r="I69" s="57"/>
    </row>
    <row r="70" spans="1:10" x14ac:dyDescent="0.2">
      <c r="H70" s="2"/>
    </row>
    <row r="71" spans="1:10" x14ac:dyDescent="0.2">
      <c r="H71" s="2"/>
    </row>
    <row r="72" spans="1:10" x14ac:dyDescent="0.2">
      <c r="H72" s="2"/>
    </row>
    <row r="73" spans="1:10" x14ac:dyDescent="0.2">
      <c r="H73" s="2"/>
    </row>
    <row r="74" spans="1:10" x14ac:dyDescent="0.2">
      <c r="H74" s="2"/>
    </row>
  </sheetData>
  <sheetProtection algorithmName="SHA-512" hashValue="bg+IkMKXd4abPqkQbgjW1DlCZ4mb4EeqxePzlhQsxF40Oqu1yn9rE3To73412oK7fna5uYmYLNmMjdyJKMwBxg==" saltValue="hpK016pLmBHAt6gUVulGmw==" spinCount="100000" sheet="1" objects="1" scenarios="1"/>
  <sortState xmlns:xlrd2="http://schemas.microsoft.com/office/spreadsheetml/2017/richdata2" ref="Q3:Q59">
    <sortCondition ref="Q3:Q59"/>
  </sortState>
  <mergeCells count="1">
    <mergeCell ref="C34:D34"/>
  </mergeCells>
  <pageMargins left="0.7" right="0.7" top="0.78740157499999996" bottom="0.78740157499999996" header="0.3" footer="0.3"/>
  <pageSetup paperSize="9" orientation="portrait" r:id="rId1"/>
  <headerFooter>
    <oddFooter>&amp;LIntern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K360"/>
  <sheetViews>
    <sheetView zoomScale="130" zoomScaleNormal="130" workbookViewId="0">
      <pane xSplit="1" ySplit="1" topLeftCell="B44" activePane="bottomRight" state="frozen"/>
      <selection activeCell="X22" sqref="X22"/>
      <selection pane="topRight" activeCell="X22" sqref="X22"/>
      <selection pane="bottomLeft" activeCell="X22" sqref="X22"/>
      <selection pane="bottomRight" activeCell="K71" sqref="K71"/>
    </sheetView>
  </sheetViews>
  <sheetFormatPr baseColWidth="10" defaultColWidth="11" defaultRowHeight="14.25" x14ac:dyDescent="0.2"/>
  <cols>
    <col min="1" max="1" width="18.625" style="9" customWidth="1"/>
    <col min="2" max="2" width="16" style="9" bestFit="1" customWidth="1"/>
    <col min="3" max="3" width="16" style="9" customWidth="1"/>
    <col min="4" max="4" width="11" style="9"/>
    <col min="5" max="5" width="11" style="18"/>
    <col min="6" max="6" width="11.125" style="9" customWidth="1"/>
    <col min="7" max="7" width="11" style="9"/>
    <col min="8" max="8" width="11.75" style="9" customWidth="1"/>
    <col min="9" max="9" width="11.5" style="9" customWidth="1"/>
    <col min="10" max="10" width="11" style="9"/>
    <col min="11" max="11" width="23.75" customWidth="1"/>
  </cols>
  <sheetData>
    <row r="1" spans="1:11" ht="22.5" x14ac:dyDescent="0.2">
      <c r="A1" s="13" t="s">
        <v>272</v>
      </c>
      <c r="B1" s="13" t="s">
        <v>273</v>
      </c>
      <c r="C1" s="13" t="s">
        <v>488</v>
      </c>
      <c r="D1" s="13" t="s">
        <v>56</v>
      </c>
      <c r="E1" s="16" t="s">
        <v>57</v>
      </c>
      <c r="F1" s="13" t="s">
        <v>23</v>
      </c>
      <c r="G1" s="13" t="s">
        <v>41</v>
      </c>
      <c r="H1" s="13" t="s">
        <v>40</v>
      </c>
      <c r="I1" s="13" t="s">
        <v>277</v>
      </c>
      <c r="J1" s="13" t="s">
        <v>276</v>
      </c>
      <c r="K1" s="13" t="s">
        <v>970</v>
      </c>
    </row>
    <row r="2" spans="1:11" x14ac:dyDescent="0.2">
      <c r="A2" s="14" t="s">
        <v>864</v>
      </c>
      <c r="B2" s="14" t="s">
        <v>976</v>
      </c>
      <c r="C2" s="14" t="s">
        <v>976</v>
      </c>
      <c r="D2" s="14" t="s">
        <v>969</v>
      </c>
      <c r="E2" s="17">
        <v>145</v>
      </c>
      <c r="F2" s="15"/>
      <c r="G2" s="43"/>
      <c r="H2" s="43"/>
      <c r="I2" s="43"/>
      <c r="J2" s="43">
        <f t="shared" ref="J2:J42" si="0">G2*1.15</f>
        <v>0</v>
      </c>
      <c r="K2" s="43" t="s">
        <v>976</v>
      </c>
    </row>
    <row r="3" spans="1:11" x14ac:dyDescent="0.2">
      <c r="A3" s="14" t="s">
        <v>1799</v>
      </c>
      <c r="B3" s="14" t="s">
        <v>1799</v>
      </c>
      <c r="C3" s="14" t="s">
        <v>1800</v>
      </c>
      <c r="D3" s="14" t="s">
        <v>969</v>
      </c>
      <c r="E3" s="17">
        <v>72.5</v>
      </c>
      <c r="F3" s="15">
        <v>725</v>
      </c>
      <c r="G3" s="43">
        <v>325</v>
      </c>
      <c r="H3" s="43">
        <v>140</v>
      </c>
      <c r="I3" s="43"/>
      <c r="J3" s="43"/>
      <c r="K3" s="43" t="s">
        <v>1801</v>
      </c>
    </row>
    <row r="4" spans="1:11" x14ac:dyDescent="0.2">
      <c r="A4" s="29" t="s">
        <v>1458</v>
      </c>
      <c r="B4" s="14" t="str">
        <f>Modeltabelle[[#This Row],[SAP Teile-bezeichnung]]</f>
        <v>CTA123-022-0250</v>
      </c>
      <c r="C4" s="14" t="s">
        <v>1465</v>
      </c>
      <c r="D4" s="14" t="s">
        <v>969</v>
      </c>
      <c r="E4" s="17">
        <v>123</v>
      </c>
      <c r="F4" s="15">
        <v>1250</v>
      </c>
      <c r="G4" s="43">
        <v>550</v>
      </c>
      <c r="H4" s="43">
        <v>230</v>
      </c>
      <c r="I4" s="43"/>
      <c r="J4" s="43">
        <f t="shared" ref="J4" si="1">G4*1.15</f>
        <v>632.5</v>
      </c>
      <c r="K4" s="43" t="s">
        <v>1465</v>
      </c>
    </row>
    <row r="5" spans="1:11" x14ac:dyDescent="0.2">
      <c r="A5" s="29" t="s">
        <v>1460</v>
      </c>
      <c r="B5" s="14" t="str">
        <f>Modeltabelle[[#This Row],[SAP Teile-bezeichnung]]</f>
        <v>CTA145-022-0250</v>
      </c>
      <c r="C5" s="14" t="s">
        <v>930</v>
      </c>
      <c r="D5" s="14" t="s">
        <v>969</v>
      </c>
      <c r="E5" s="17">
        <v>145</v>
      </c>
      <c r="F5" s="15">
        <v>1525</v>
      </c>
      <c r="G5" s="43">
        <v>650</v>
      </c>
      <c r="H5" s="43">
        <v>275</v>
      </c>
      <c r="I5" s="43"/>
      <c r="J5" s="43">
        <v>0</v>
      </c>
      <c r="K5" s="43" t="s">
        <v>930</v>
      </c>
    </row>
    <row r="6" spans="1:11" x14ac:dyDescent="0.2">
      <c r="A6" s="29" t="s">
        <v>1459</v>
      </c>
      <c r="B6" s="14" t="str">
        <f>Modeltabelle[[#This Row],[SAP Teile-bezeichnung]]</f>
        <v>CTA145-022-0185</v>
      </c>
      <c r="C6" s="14" t="s">
        <v>930</v>
      </c>
      <c r="D6" s="14" t="s">
        <v>969</v>
      </c>
      <c r="E6" s="17">
        <v>145</v>
      </c>
      <c r="F6" s="15">
        <v>1525</v>
      </c>
      <c r="G6" s="43">
        <v>650</v>
      </c>
      <c r="H6" s="43">
        <v>275</v>
      </c>
      <c r="I6" s="43"/>
      <c r="J6" s="43">
        <v>0</v>
      </c>
      <c r="K6" s="43" t="s">
        <v>930</v>
      </c>
    </row>
    <row r="7" spans="1:11" x14ac:dyDescent="0.2">
      <c r="A7" s="29" t="s">
        <v>1457</v>
      </c>
      <c r="B7" s="14" t="str">
        <f>Modeltabelle[[#This Row],[SAP Teile-bezeichnung]]</f>
        <v>CTA145-040-0300</v>
      </c>
      <c r="C7" s="14" t="s">
        <v>930</v>
      </c>
      <c r="D7" s="14" t="s">
        <v>969</v>
      </c>
      <c r="E7" s="17">
        <v>145</v>
      </c>
      <c r="F7" s="15">
        <v>1250</v>
      </c>
      <c r="G7" s="19">
        <v>650</v>
      </c>
      <c r="H7" s="19">
        <v>275</v>
      </c>
      <c r="I7" s="19" t="s">
        <v>4</v>
      </c>
      <c r="J7" s="19">
        <v>0</v>
      </c>
      <c r="K7" s="43" t="s">
        <v>930</v>
      </c>
    </row>
    <row r="8" spans="1:11" x14ac:dyDescent="0.2">
      <c r="A8" s="29" t="s">
        <v>865</v>
      </c>
      <c r="B8" s="14" t="str">
        <f>Modeltabelle[[#This Row],[SAP Teile-bezeichnung]]</f>
        <v>CTA145-040-0390</v>
      </c>
      <c r="C8" s="14" t="s">
        <v>930</v>
      </c>
      <c r="D8" s="14" t="s">
        <v>969</v>
      </c>
      <c r="E8" s="17">
        <v>145</v>
      </c>
      <c r="F8" s="15">
        <v>1250</v>
      </c>
      <c r="G8" s="19">
        <v>650</v>
      </c>
      <c r="H8" s="19">
        <v>275</v>
      </c>
      <c r="I8" s="19" t="s">
        <v>4</v>
      </c>
      <c r="J8" s="19">
        <v>0</v>
      </c>
      <c r="K8" s="43" t="s">
        <v>930</v>
      </c>
    </row>
    <row r="9" spans="1:11" x14ac:dyDescent="0.2">
      <c r="A9" s="29" t="s">
        <v>1461</v>
      </c>
      <c r="B9" s="14" t="str">
        <f>Modeltabelle[[#This Row],[SAP Teile-bezeichnung]]</f>
        <v>CTA170-022-0185</v>
      </c>
      <c r="C9" s="14" t="s">
        <v>1466</v>
      </c>
      <c r="D9" s="14" t="s">
        <v>969</v>
      </c>
      <c r="E9" s="17">
        <v>170</v>
      </c>
      <c r="F9" s="15">
        <v>1800</v>
      </c>
      <c r="G9" s="43">
        <v>750</v>
      </c>
      <c r="H9" s="43">
        <v>325</v>
      </c>
      <c r="I9" s="43"/>
      <c r="J9" s="43">
        <v>0</v>
      </c>
      <c r="K9" s="43" t="s">
        <v>1466</v>
      </c>
    </row>
    <row r="10" spans="1:11" x14ac:dyDescent="0.2">
      <c r="A10" s="29" t="s">
        <v>1462</v>
      </c>
      <c r="B10" s="14" t="str">
        <f>Modeltabelle[[#This Row],[SAP Teile-bezeichnung]]</f>
        <v>CTA245-041-0520</v>
      </c>
      <c r="C10" s="14" t="s">
        <v>1467</v>
      </c>
      <c r="D10" s="14" t="s">
        <v>969</v>
      </c>
      <c r="E10" s="17">
        <v>245</v>
      </c>
      <c r="F10" s="15">
        <v>2400</v>
      </c>
      <c r="G10" s="43">
        <v>1050</v>
      </c>
      <c r="H10" s="43">
        <v>460</v>
      </c>
      <c r="I10" s="43"/>
      <c r="J10" s="43">
        <f t="shared" ref="J10:J12" si="2">G10*1.15</f>
        <v>1207.5</v>
      </c>
      <c r="K10" s="43" t="s">
        <v>1467</v>
      </c>
    </row>
    <row r="11" spans="1:11" x14ac:dyDescent="0.2">
      <c r="A11" s="29" t="s">
        <v>1463</v>
      </c>
      <c r="B11" s="14" t="str">
        <f>Modeltabelle[[#This Row],[SAP Teile-bezeichnung]]</f>
        <v>CTA362G05</v>
      </c>
      <c r="C11" s="14" t="s">
        <v>1468</v>
      </c>
      <c r="D11" s="14" t="s">
        <v>969</v>
      </c>
      <c r="E11" s="17">
        <v>362</v>
      </c>
      <c r="F11" s="15">
        <v>2750</v>
      </c>
      <c r="G11" s="43">
        <v>1175</v>
      </c>
      <c r="H11" s="43">
        <v>510</v>
      </c>
      <c r="I11" s="43"/>
      <c r="J11" s="43">
        <f t="shared" si="2"/>
        <v>1351.25</v>
      </c>
      <c r="K11" s="43" t="s">
        <v>1468</v>
      </c>
    </row>
    <row r="12" spans="1:11" x14ac:dyDescent="0.2">
      <c r="A12" s="330" t="s">
        <v>1464</v>
      </c>
      <c r="B12" s="14" t="str">
        <f>Modeltabelle[[#This Row],[SAP Teile-bezeichnung]]</f>
        <v>CTA420G05</v>
      </c>
      <c r="C12" s="14" t="s">
        <v>1469</v>
      </c>
      <c r="D12" s="14" t="s">
        <v>969</v>
      </c>
      <c r="E12" s="17">
        <v>420</v>
      </c>
      <c r="F12" s="15">
        <v>3000</v>
      </c>
      <c r="G12" s="43">
        <v>1425</v>
      </c>
      <c r="H12" s="43">
        <v>630</v>
      </c>
      <c r="I12" s="43"/>
      <c r="J12" s="43">
        <f t="shared" si="2"/>
        <v>1638.7499999999998</v>
      </c>
      <c r="K12" s="43" t="s">
        <v>1469</v>
      </c>
    </row>
    <row r="13" spans="1:11" x14ac:dyDescent="0.2">
      <c r="A13" s="14" t="s">
        <v>1775</v>
      </c>
      <c r="B13" s="14" t="str">
        <f>Modeltabelle[[#This Row],[SAP Teile-bezeichnung]]</f>
        <v>CTG072G05-1</v>
      </c>
      <c r="C13" s="14" t="s">
        <v>1776</v>
      </c>
      <c r="D13" s="14" t="s">
        <v>969</v>
      </c>
      <c r="E13" s="17">
        <v>72.5</v>
      </c>
      <c r="F13" s="15">
        <v>725</v>
      </c>
      <c r="G13" s="43">
        <v>325</v>
      </c>
      <c r="H13" s="43">
        <v>140</v>
      </c>
      <c r="I13" s="43"/>
      <c r="J13" s="43"/>
      <c r="K13" s="43" t="s">
        <v>1776</v>
      </c>
    </row>
    <row r="14" spans="1:11" x14ac:dyDescent="0.2">
      <c r="A14" s="14" t="s">
        <v>866</v>
      </c>
      <c r="B14" s="14" t="str">
        <f>Modeltabelle[[#This Row],[SAP Teile-bezeichnung]]</f>
        <v>CTG123-010-008</v>
      </c>
      <c r="C14" s="14" t="s">
        <v>929</v>
      </c>
      <c r="D14" s="14" t="s">
        <v>969</v>
      </c>
      <c r="E14" s="17">
        <v>123</v>
      </c>
      <c r="F14" s="15">
        <v>1100</v>
      </c>
      <c r="G14" s="19">
        <v>550</v>
      </c>
      <c r="H14" s="19">
        <v>230</v>
      </c>
      <c r="I14" s="19" t="s">
        <v>4</v>
      </c>
      <c r="J14" s="19">
        <f t="shared" si="0"/>
        <v>632.5</v>
      </c>
      <c r="K14" s="43" t="s">
        <v>1000</v>
      </c>
    </row>
    <row r="15" spans="1:11" x14ac:dyDescent="0.2">
      <c r="A15" s="14" t="s">
        <v>62</v>
      </c>
      <c r="B15" s="14" t="str">
        <f>Modeltabelle[[#This Row],[SAP Teile-bezeichnung]]</f>
        <v>CTG123-010-0175</v>
      </c>
      <c r="C15" s="14" t="s">
        <v>481</v>
      </c>
      <c r="D15" s="14" t="s">
        <v>969</v>
      </c>
      <c r="E15" s="17">
        <v>123</v>
      </c>
      <c r="F15" s="15">
        <v>1100</v>
      </c>
      <c r="G15" s="19">
        <v>550</v>
      </c>
      <c r="H15" s="19">
        <v>230</v>
      </c>
      <c r="I15" s="19" t="s">
        <v>4</v>
      </c>
      <c r="J15" s="19">
        <f t="shared" si="0"/>
        <v>632.5</v>
      </c>
      <c r="K15" s="43" t="s">
        <v>481</v>
      </c>
    </row>
    <row r="16" spans="1:11" x14ac:dyDescent="0.2">
      <c r="A16" s="327" t="s">
        <v>867</v>
      </c>
      <c r="B16" s="14" t="str">
        <f>Modeltabelle[[#This Row],[SAP Teile-bezeichnung]]</f>
        <v>CTG123-020-001</v>
      </c>
      <c r="C16" s="14" t="s">
        <v>481</v>
      </c>
      <c r="D16" s="14" t="s">
        <v>969</v>
      </c>
      <c r="E16" s="17">
        <v>123</v>
      </c>
      <c r="F16" s="15">
        <v>1100</v>
      </c>
      <c r="G16" s="19">
        <v>550</v>
      </c>
      <c r="H16" s="19">
        <v>230</v>
      </c>
      <c r="I16" s="19" t="s">
        <v>4</v>
      </c>
      <c r="J16" s="19">
        <f t="shared" si="0"/>
        <v>632.5</v>
      </c>
      <c r="K16" s="43" t="s">
        <v>999</v>
      </c>
    </row>
    <row r="17" spans="1:11" x14ac:dyDescent="0.2">
      <c r="A17" s="327" t="s">
        <v>868</v>
      </c>
      <c r="B17" s="14" t="str">
        <f>Modeltabelle[[#This Row],[SAP Teile-bezeichnung]]</f>
        <v>CTG123-020-010</v>
      </c>
      <c r="C17" s="14" t="s">
        <v>481</v>
      </c>
      <c r="D17" s="14" t="s">
        <v>969</v>
      </c>
      <c r="E17" s="17">
        <v>123</v>
      </c>
      <c r="F17" s="15">
        <v>1100</v>
      </c>
      <c r="G17" s="19">
        <v>550</v>
      </c>
      <c r="H17" s="19">
        <v>230</v>
      </c>
      <c r="I17" s="19" t="s">
        <v>4</v>
      </c>
      <c r="J17" s="19">
        <f t="shared" si="0"/>
        <v>632.5</v>
      </c>
      <c r="K17" s="43" t="s">
        <v>1001</v>
      </c>
    </row>
    <row r="18" spans="1:11" x14ac:dyDescent="0.2">
      <c r="A18" s="14" t="s">
        <v>63</v>
      </c>
      <c r="B18" s="14" t="str">
        <f>Modeltabelle[[#This Row],[SAP Teile-bezeichnung]]</f>
        <v>CTG123-020-0250</v>
      </c>
      <c r="C18" s="14" t="s">
        <v>481</v>
      </c>
      <c r="D18" s="14" t="s">
        <v>969</v>
      </c>
      <c r="E18" s="17">
        <v>123</v>
      </c>
      <c r="F18" s="15">
        <v>1100</v>
      </c>
      <c r="G18" s="19">
        <v>550</v>
      </c>
      <c r="H18" s="19">
        <v>230</v>
      </c>
      <c r="I18" s="19" t="s">
        <v>4</v>
      </c>
      <c r="J18" s="19">
        <f t="shared" si="0"/>
        <v>632.5</v>
      </c>
      <c r="K18" s="43" t="s">
        <v>481</v>
      </c>
    </row>
    <row r="19" spans="1:11" x14ac:dyDescent="0.2">
      <c r="A19" s="14" t="s">
        <v>1777</v>
      </c>
      <c r="B19" s="14" t="str">
        <f>Modeltabelle[[#This Row],[SAP Teile-bezeichnung]]</f>
        <v>CTG123G05-1</v>
      </c>
      <c r="C19" s="14" t="s">
        <v>481</v>
      </c>
      <c r="D19" s="14" t="s">
        <v>969</v>
      </c>
      <c r="E19" s="17">
        <v>123</v>
      </c>
      <c r="F19" s="15">
        <v>1100</v>
      </c>
      <c r="G19" s="19">
        <v>550</v>
      </c>
      <c r="H19" s="19">
        <v>230</v>
      </c>
      <c r="I19" s="19" t="s">
        <v>4</v>
      </c>
      <c r="J19" s="19">
        <f t="shared" ref="J19" si="3">G19*1.15</f>
        <v>632.5</v>
      </c>
      <c r="K19" s="43" t="s">
        <v>481</v>
      </c>
    </row>
    <row r="20" spans="1:11" x14ac:dyDescent="0.2">
      <c r="A20" s="14" t="s">
        <v>69</v>
      </c>
      <c r="B20" s="14" t="str">
        <f>Modeltabelle[[#This Row],[SAP Teile-bezeichnung]]</f>
        <v>CTG145-010-0175</v>
      </c>
      <c r="C20" s="14" t="s">
        <v>482</v>
      </c>
      <c r="D20" s="14" t="s">
        <v>969</v>
      </c>
      <c r="E20" s="17">
        <v>145</v>
      </c>
      <c r="F20" s="15">
        <v>1250</v>
      </c>
      <c r="G20" s="19">
        <v>650</v>
      </c>
      <c r="H20" s="19">
        <v>275</v>
      </c>
      <c r="I20" s="19" t="s">
        <v>4</v>
      </c>
      <c r="J20" s="19"/>
      <c r="K20" s="43" t="s">
        <v>482</v>
      </c>
    </row>
    <row r="21" spans="1:11" x14ac:dyDescent="0.2">
      <c r="A21" s="14" t="s">
        <v>70</v>
      </c>
      <c r="B21" s="14" t="str">
        <f>Modeltabelle[[#This Row],[SAP Teile-bezeichnung]]</f>
        <v>CTG145-020-0250</v>
      </c>
      <c r="C21" s="14" t="s">
        <v>482</v>
      </c>
      <c r="D21" s="14" t="s">
        <v>969</v>
      </c>
      <c r="E21" s="17">
        <v>145</v>
      </c>
      <c r="F21" s="15">
        <v>1250</v>
      </c>
      <c r="G21" s="19">
        <v>650</v>
      </c>
      <c r="H21" s="19">
        <v>275</v>
      </c>
      <c r="I21" s="19" t="s">
        <v>4</v>
      </c>
      <c r="J21" s="19"/>
      <c r="K21" s="43" t="s">
        <v>482</v>
      </c>
    </row>
    <row r="22" spans="1:11" x14ac:dyDescent="0.2">
      <c r="A22" s="14" t="s">
        <v>1778</v>
      </c>
      <c r="B22" s="14" t="str">
        <f>Modeltabelle[[#This Row],[SAP Teile-bezeichnung]]</f>
        <v>CTG145G05-1</v>
      </c>
      <c r="C22" s="14" t="s">
        <v>482</v>
      </c>
      <c r="D22" s="14" t="s">
        <v>969</v>
      </c>
      <c r="E22" s="17">
        <v>145</v>
      </c>
      <c r="F22" s="15">
        <v>1250</v>
      </c>
      <c r="G22" s="19">
        <v>650</v>
      </c>
      <c r="H22" s="19">
        <v>275</v>
      </c>
      <c r="I22" s="19" t="s">
        <v>4</v>
      </c>
      <c r="J22" s="19"/>
      <c r="K22" s="43" t="s">
        <v>482</v>
      </c>
    </row>
    <row r="23" spans="1:11" x14ac:dyDescent="0.2">
      <c r="A23" s="327" t="s">
        <v>869</v>
      </c>
      <c r="B23" s="14" t="str">
        <f>Modeltabelle[[#This Row],[SAP Teile-bezeichnung]]</f>
        <v>CTG145-040-004</v>
      </c>
      <c r="C23" s="14" t="s">
        <v>482</v>
      </c>
      <c r="D23" s="14" t="s">
        <v>969</v>
      </c>
      <c r="E23" s="17">
        <v>145</v>
      </c>
      <c r="F23" s="15">
        <v>1250</v>
      </c>
      <c r="G23" s="19">
        <v>650</v>
      </c>
      <c r="H23" s="19">
        <v>275</v>
      </c>
      <c r="I23" s="19" t="s">
        <v>4</v>
      </c>
      <c r="J23" s="19">
        <f t="shared" si="0"/>
        <v>747.49999999999989</v>
      </c>
      <c r="K23" s="43" t="s">
        <v>1002</v>
      </c>
    </row>
    <row r="24" spans="1:11" x14ac:dyDescent="0.2">
      <c r="A24" s="327" t="s">
        <v>870</v>
      </c>
      <c r="B24" s="14" t="str">
        <f>Modeltabelle[[#This Row],[SAP Teile-bezeichnung]]</f>
        <v>CTG145-040-008</v>
      </c>
      <c r="C24" s="14" t="s">
        <v>482</v>
      </c>
      <c r="D24" s="14" t="s">
        <v>969</v>
      </c>
      <c r="E24" s="17">
        <v>145</v>
      </c>
      <c r="F24" s="15">
        <v>1250</v>
      </c>
      <c r="G24" s="19">
        <v>650</v>
      </c>
      <c r="H24" s="19">
        <v>275</v>
      </c>
      <c r="I24" s="19" t="s">
        <v>4</v>
      </c>
      <c r="J24" s="19">
        <f t="shared" si="0"/>
        <v>747.49999999999989</v>
      </c>
      <c r="K24" s="43" t="s">
        <v>1003</v>
      </c>
    </row>
    <row r="25" spans="1:11" x14ac:dyDescent="0.2">
      <c r="A25" s="14" t="s">
        <v>871</v>
      </c>
      <c r="B25" s="14" t="str">
        <f>Modeltabelle[[#This Row],[SAP Teile-bezeichnung]]</f>
        <v>CTG145-040-0300</v>
      </c>
      <c r="C25" s="14" t="s">
        <v>482</v>
      </c>
      <c r="D25" s="14" t="s">
        <v>969</v>
      </c>
      <c r="E25" s="17">
        <v>145</v>
      </c>
      <c r="F25" s="15">
        <v>1250</v>
      </c>
      <c r="G25" s="19">
        <v>650</v>
      </c>
      <c r="H25" s="19">
        <v>275</v>
      </c>
      <c r="I25" s="19" t="s">
        <v>4</v>
      </c>
      <c r="J25" s="19">
        <f t="shared" si="0"/>
        <v>747.49999999999989</v>
      </c>
      <c r="K25" s="43" t="s">
        <v>482</v>
      </c>
    </row>
    <row r="26" spans="1:11" x14ac:dyDescent="0.2">
      <c r="A26" s="14" t="s">
        <v>71</v>
      </c>
      <c r="B26" s="14" t="str">
        <f>Modeltabelle[[#This Row],[SAP Teile-bezeichnung]]</f>
        <v>CTG145G07</v>
      </c>
      <c r="C26" s="14" t="s">
        <v>482</v>
      </c>
      <c r="D26" s="14" t="s">
        <v>969</v>
      </c>
      <c r="E26" s="17">
        <v>145</v>
      </c>
      <c r="F26" s="15">
        <v>1250</v>
      </c>
      <c r="G26" s="19">
        <v>650</v>
      </c>
      <c r="H26" s="19">
        <v>275</v>
      </c>
      <c r="I26" s="19" t="s">
        <v>4</v>
      </c>
      <c r="J26" s="19">
        <f t="shared" si="0"/>
        <v>747.49999999999989</v>
      </c>
      <c r="K26" s="43" t="s">
        <v>353</v>
      </c>
    </row>
    <row r="27" spans="1:11" x14ac:dyDescent="0.2">
      <c r="A27" s="14" t="s">
        <v>1779</v>
      </c>
      <c r="B27" s="14" t="str">
        <f>Modeltabelle[[#This Row],[SAP Teile-bezeichnung]]</f>
        <v>CTG170G05</v>
      </c>
      <c r="C27" s="14" t="s">
        <v>1599</v>
      </c>
      <c r="D27" s="14" t="s">
        <v>969</v>
      </c>
      <c r="E27" s="17">
        <v>170</v>
      </c>
      <c r="F27" s="15">
        <v>1800</v>
      </c>
      <c r="G27" s="43">
        <v>750</v>
      </c>
      <c r="H27" s="43">
        <v>325</v>
      </c>
      <c r="I27" s="43" t="s">
        <v>4</v>
      </c>
      <c r="J27" s="43"/>
      <c r="K27" s="43" t="s">
        <v>1599</v>
      </c>
    </row>
    <row r="28" spans="1:11" x14ac:dyDescent="0.2">
      <c r="A28" s="14" t="s">
        <v>1598</v>
      </c>
      <c r="B28" s="14" t="e">
        <f>[4]!Modeltabelle[[#This Row],[SAP Teile-bezeichnung]]</f>
        <v>#REF!</v>
      </c>
      <c r="C28" s="14" t="s">
        <v>1599</v>
      </c>
      <c r="D28" s="14" t="s">
        <v>969</v>
      </c>
      <c r="E28" s="17">
        <v>170</v>
      </c>
      <c r="F28" s="15">
        <v>1800</v>
      </c>
      <c r="G28" s="43">
        <v>750</v>
      </c>
      <c r="H28" s="43">
        <v>325</v>
      </c>
      <c r="I28" s="43" t="s">
        <v>4</v>
      </c>
      <c r="J28" s="43"/>
      <c r="K28" s="43" t="s">
        <v>1599</v>
      </c>
    </row>
    <row r="29" spans="1:11" x14ac:dyDescent="0.2">
      <c r="A29" s="14" t="s">
        <v>77</v>
      </c>
      <c r="B29" s="14" t="str">
        <f>Modeltabelle[[#This Row],[SAP Teile-bezeichnung]]</f>
        <v>CTG245-030-0150</v>
      </c>
      <c r="C29" s="14" t="s">
        <v>483</v>
      </c>
      <c r="D29" s="14" t="s">
        <v>969</v>
      </c>
      <c r="E29" s="17">
        <v>245</v>
      </c>
      <c r="F29" s="15">
        <v>2200</v>
      </c>
      <c r="G29" s="19">
        <v>1050</v>
      </c>
      <c r="H29" s="19">
        <v>460</v>
      </c>
      <c r="I29" s="19" t="s">
        <v>4</v>
      </c>
      <c r="J29" s="19">
        <f t="shared" si="0"/>
        <v>1207.5</v>
      </c>
      <c r="K29" s="43" t="s">
        <v>483</v>
      </c>
    </row>
    <row r="30" spans="1:11" x14ac:dyDescent="0.2">
      <c r="A30" s="14" t="s">
        <v>78</v>
      </c>
      <c r="B30" s="14" t="str">
        <f>Modeltabelle[[#This Row],[SAP Teile-bezeichnung]]</f>
        <v>CTG245-040-0300</v>
      </c>
      <c r="C30" s="14" t="s">
        <v>483</v>
      </c>
      <c r="D30" s="14" t="s">
        <v>969</v>
      </c>
      <c r="E30" s="17">
        <v>245</v>
      </c>
      <c r="F30" s="15">
        <v>2200</v>
      </c>
      <c r="G30" s="19">
        <v>1050</v>
      </c>
      <c r="H30" s="19">
        <v>460</v>
      </c>
      <c r="I30" s="19" t="s">
        <v>4</v>
      </c>
      <c r="J30" s="19">
        <f t="shared" si="0"/>
        <v>1207.5</v>
      </c>
      <c r="K30" s="43" t="s">
        <v>483</v>
      </c>
    </row>
    <row r="31" spans="1:11" x14ac:dyDescent="0.2">
      <c r="A31" s="14" t="s">
        <v>1408</v>
      </c>
      <c r="B31" s="14" t="str">
        <f>Modeltabelle[[#This Row],[SAP Teile-bezeichnung]]</f>
        <v>CTG245-040-0390</v>
      </c>
      <c r="C31" s="14" t="s">
        <v>483</v>
      </c>
      <c r="D31" s="14" t="s">
        <v>969</v>
      </c>
      <c r="E31" s="17">
        <v>245</v>
      </c>
      <c r="F31" s="15">
        <v>2200</v>
      </c>
      <c r="G31" s="43">
        <v>1050</v>
      </c>
      <c r="H31" s="43">
        <v>460</v>
      </c>
      <c r="I31" s="43"/>
      <c r="J31" s="43">
        <f>G31*1.15</f>
        <v>1207.5</v>
      </c>
      <c r="K31" s="43" t="s">
        <v>483</v>
      </c>
    </row>
    <row r="32" spans="1:11" x14ac:dyDescent="0.2">
      <c r="A32" s="14" t="s">
        <v>79</v>
      </c>
      <c r="B32" s="14" t="str">
        <f>Modeltabelle[[#This Row],[SAP Teile-bezeichnung]]</f>
        <v>CTG245-050-0650</v>
      </c>
      <c r="C32" s="14" t="s">
        <v>483</v>
      </c>
      <c r="D32" s="14" t="s">
        <v>969</v>
      </c>
      <c r="E32" s="17">
        <v>245</v>
      </c>
      <c r="F32" s="15">
        <v>2200</v>
      </c>
      <c r="G32" s="19">
        <v>1050</v>
      </c>
      <c r="H32" s="19">
        <v>460</v>
      </c>
      <c r="I32" s="19" t="s">
        <v>4</v>
      </c>
      <c r="J32" s="19">
        <f t="shared" si="0"/>
        <v>1207.5</v>
      </c>
      <c r="K32" s="43" t="s">
        <v>483</v>
      </c>
    </row>
    <row r="33" spans="1:11" x14ac:dyDescent="0.2">
      <c r="A33" s="14" t="s">
        <v>84</v>
      </c>
      <c r="B33" s="14" t="str">
        <f>Modeltabelle[[#This Row],[SAP Teile-bezeichnung]]</f>
        <v>CTG300-030-0150</v>
      </c>
      <c r="C33" s="14" t="s">
        <v>484</v>
      </c>
      <c r="D33" s="14" t="s">
        <v>969</v>
      </c>
      <c r="E33" s="17">
        <v>300</v>
      </c>
      <c r="F33" s="15">
        <v>2400</v>
      </c>
      <c r="G33" s="19">
        <v>1050</v>
      </c>
      <c r="H33" s="19">
        <v>460</v>
      </c>
      <c r="I33" s="19" t="s">
        <v>4</v>
      </c>
      <c r="J33" s="19">
        <f t="shared" si="0"/>
        <v>1207.5</v>
      </c>
      <c r="K33" s="43" t="s">
        <v>484</v>
      </c>
    </row>
    <row r="34" spans="1:11" x14ac:dyDescent="0.2">
      <c r="A34" s="14" t="s">
        <v>85</v>
      </c>
      <c r="B34" s="14" t="str">
        <f>Modeltabelle[[#This Row],[SAP Teile-bezeichnung]]</f>
        <v>CTG300-040-0300</v>
      </c>
      <c r="C34" s="14" t="s">
        <v>484</v>
      </c>
      <c r="D34" s="14" t="s">
        <v>969</v>
      </c>
      <c r="E34" s="17">
        <v>300</v>
      </c>
      <c r="F34" s="15">
        <v>2400</v>
      </c>
      <c r="G34" s="19">
        <v>1050</v>
      </c>
      <c r="H34" s="19">
        <v>460</v>
      </c>
      <c r="I34" s="19" t="s">
        <v>4</v>
      </c>
      <c r="J34" s="19">
        <f t="shared" si="0"/>
        <v>1207.5</v>
      </c>
      <c r="K34" s="43" t="s">
        <v>484</v>
      </c>
    </row>
    <row r="35" spans="1:11" x14ac:dyDescent="0.2">
      <c r="A35" s="14" t="s">
        <v>1693</v>
      </c>
      <c r="B35" s="14" t="str">
        <f>Modeltabelle[[#This Row],[SAP Teile-bezeichnung]]</f>
        <v>CTG300-040-0390</v>
      </c>
      <c r="C35" s="14" t="s">
        <v>484</v>
      </c>
      <c r="D35" s="14" t="s">
        <v>969</v>
      </c>
      <c r="E35" s="17">
        <v>300</v>
      </c>
      <c r="F35" s="15">
        <v>2400</v>
      </c>
      <c r="G35" s="19">
        <v>1050</v>
      </c>
      <c r="H35" s="19">
        <v>460</v>
      </c>
      <c r="I35" s="19" t="s">
        <v>4</v>
      </c>
      <c r="J35" s="19">
        <f t="shared" ref="J35" si="4">G35*1.15</f>
        <v>1207.5</v>
      </c>
      <c r="K35" s="43" t="s">
        <v>484</v>
      </c>
    </row>
    <row r="36" spans="1:11" x14ac:dyDescent="0.2">
      <c r="A36" s="14" t="s">
        <v>86</v>
      </c>
      <c r="B36" s="14" t="str">
        <f>Modeltabelle[[#This Row],[SAP Teile-bezeichnung]]</f>
        <v>CTG300-050-0650</v>
      </c>
      <c r="C36" s="14" t="s">
        <v>484</v>
      </c>
      <c r="D36" s="14" t="s">
        <v>969</v>
      </c>
      <c r="E36" s="17">
        <v>300</v>
      </c>
      <c r="F36" s="15">
        <v>2400</v>
      </c>
      <c r="G36" s="19">
        <v>1050</v>
      </c>
      <c r="H36" s="19">
        <v>460</v>
      </c>
      <c r="I36" s="19" t="s">
        <v>4</v>
      </c>
      <c r="J36" s="19">
        <f t="shared" si="0"/>
        <v>1207.5</v>
      </c>
      <c r="K36" s="43" t="s">
        <v>484</v>
      </c>
    </row>
    <row r="37" spans="1:11" x14ac:dyDescent="0.2">
      <c r="A37" s="14" t="s">
        <v>90</v>
      </c>
      <c r="B37" s="14" t="str">
        <f>Modeltabelle[[#This Row],[SAP Teile-bezeichnung]]</f>
        <v>CTG362-040-0150</v>
      </c>
      <c r="C37" s="14" t="s">
        <v>485</v>
      </c>
      <c r="D37" s="14" t="s">
        <v>969</v>
      </c>
      <c r="E37" s="17">
        <v>362</v>
      </c>
      <c r="F37" s="15">
        <v>2750</v>
      </c>
      <c r="G37" s="19">
        <v>1175</v>
      </c>
      <c r="H37" s="19">
        <v>460</v>
      </c>
      <c r="I37" s="19">
        <v>950</v>
      </c>
      <c r="J37" s="19">
        <f t="shared" si="0"/>
        <v>1351.25</v>
      </c>
      <c r="K37" s="43" t="s">
        <v>485</v>
      </c>
    </row>
    <row r="38" spans="1:11" x14ac:dyDescent="0.2">
      <c r="A38" s="14" t="s">
        <v>1604</v>
      </c>
      <c r="B38" s="14" t="str">
        <f>Modeltabelle[[#This Row],[SAP Teile-bezeichnung]]</f>
        <v>CTG362-040-0240</v>
      </c>
      <c r="C38" s="14" t="s">
        <v>485</v>
      </c>
      <c r="D38" s="14" t="s">
        <v>969</v>
      </c>
      <c r="E38" s="17">
        <v>362</v>
      </c>
      <c r="F38" s="15">
        <v>2750</v>
      </c>
      <c r="G38" s="19">
        <v>1175</v>
      </c>
      <c r="H38" s="19">
        <v>460</v>
      </c>
      <c r="I38" s="19">
        <v>950</v>
      </c>
      <c r="J38" s="19">
        <f t="shared" ref="J38" si="5">G38*1.15</f>
        <v>1351.25</v>
      </c>
      <c r="K38" s="43" t="s">
        <v>485</v>
      </c>
    </row>
    <row r="39" spans="1:11" x14ac:dyDescent="0.2">
      <c r="A39" s="14" t="s">
        <v>91</v>
      </c>
      <c r="B39" s="14" t="str">
        <f>Modeltabelle[[#This Row],[SAP Teile-bezeichnung]]</f>
        <v>CTG362-040-0300</v>
      </c>
      <c r="C39" s="14" t="s">
        <v>485</v>
      </c>
      <c r="D39" s="14" t="s">
        <v>969</v>
      </c>
      <c r="E39" s="17">
        <v>362</v>
      </c>
      <c r="F39" s="15">
        <v>2750</v>
      </c>
      <c r="G39" s="19">
        <v>1050</v>
      </c>
      <c r="H39" s="19">
        <v>460</v>
      </c>
      <c r="I39" s="19">
        <v>950</v>
      </c>
      <c r="J39" s="19">
        <f t="shared" si="0"/>
        <v>1207.5</v>
      </c>
      <c r="K39" s="43" t="s">
        <v>485</v>
      </c>
    </row>
    <row r="40" spans="1:11" x14ac:dyDescent="0.2">
      <c r="A40" s="14" t="s">
        <v>1692</v>
      </c>
      <c r="B40" s="14" t="str">
        <f>Modeltabelle[[#This Row],[SAP Teile-bezeichnung]]</f>
        <v>CTG362-040-0390</v>
      </c>
      <c r="C40" s="14" t="s">
        <v>485</v>
      </c>
      <c r="D40" s="14" t="s">
        <v>969</v>
      </c>
      <c r="E40" s="17">
        <v>362</v>
      </c>
      <c r="F40" s="15">
        <v>2750</v>
      </c>
      <c r="G40" s="19">
        <v>1050</v>
      </c>
      <c r="H40" s="19">
        <v>460</v>
      </c>
      <c r="I40" s="19">
        <v>950</v>
      </c>
      <c r="J40" s="19">
        <f t="shared" ref="J40" si="6">G40*1.15</f>
        <v>1207.5</v>
      </c>
      <c r="K40" s="43" t="s">
        <v>485</v>
      </c>
    </row>
    <row r="41" spans="1:11" x14ac:dyDescent="0.2">
      <c r="A41" s="14" t="s">
        <v>92</v>
      </c>
      <c r="B41" s="14" t="str">
        <f>Modeltabelle[[#This Row],[SAP Teile-bezeichnung]]</f>
        <v>CTG362-050-0440</v>
      </c>
      <c r="C41" s="14" t="s">
        <v>485</v>
      </c>
      <c r="D41" s="14" t="s">
        <v>969</v>
      </c>
      <c r="E41" s="17">
        <v>362</v>
      </c>
      <c r="F41" s="15">
        <v>2750</v>
      </c>
      <c r="G41" s="19">
        <v>1175</v>
      </c>
      <c r="H41" s="19">
        <v>460</v>
      </c>
      <c r="I41" s="19">
        <v>950</v>
      </c>
      <c r="J41" s="19">
        <f t="shared" si="0"/>
        <v>1351.25</v>
      </c>
      <c r="K41" s="43" t="s">
        <v>485</v>
      </c>
    </row>
    <row r="42" spans="1:11" x14ac:dyDescent="0.2">
      <c r="A42" s="327" t="s">
        <v>793</v>
      </c>
      <c r="B42" s="14" t="s">
        <v>93</v>
      </c>
      <c r="C42" s="14" t="s">
        <v>485</v>
      </c>
      <c r="D42" s="14" t="s">
        <v>969</v>
      </c>
      <c r="E42" s="17">
        <v>362</v>
      </c>
      <c r="F42" s="15"/>
      <c r="G42" s="19">
        <v>1175</v>
      </c>
      <c r="H42" s="19">
        <v>460</v>
      </c>
      <c r="I42" s="19">
        <v>950</v>
      </c>
      <c r="J42" s="19">
        <f t="shared" si="0"/>
        <v>1351.25</v>
      </c>
      <c r="K42" s="43" t="s">
        <v>1006</v>
      </c>
    </row>
    <row r="43" spans="1:11" x14ac:dyDescent="0.2">
      <c r="A43" s="327" t="s">
        <v>794</v>
      </c>
      <c r="B43" s="14" t="s">
        <v>94</v>
      </c>
      <c r="C43" s="14" t="s">
        <v>485</v>
      </c>
      <c r="D43" s="14" t="s">
        <v>969</v>
      </c>
      <c r="E43" s="17">
        <v>362</v>
      </c>
      <c r="F43" s="15"/>
      <c r="G43" s="19">
        <v>1175</v>
      </c>
      <c r="H43" s="19">
        <v>460</v>
      </c>
      <c r="I43" s="19">
        <v>950</v>
      </c>
      <c r="J43" s="19">
        <f t="shared" ref="J43:J98" si="7">G43*1.15</f>
        <v>1351.25</v>
      </c>
      <c r="K43" s="43" t="s">
        <v>1005</v>
      </c>
    </row>
    <row r="44" spans="1:11" x14ac:dyDescent="0.2">
      <c r="A44" s="327" t="s">
        <v>795</v>
      </c>
      <c r="B44" s="14" t="s">
        <v>94</v>
      </c>
      <c r="C44" s="14" t="s">
        <v>485</v>
      </c>
      <c r="D44" s="14" t="s">
        <v>969</v>
      </c>
      <c r="E44" s="17">
        <v>362</v>
      </c>
      <c r="F44" s="15"/>
      <c r="G44" s="19">
        <v>1175</v>
      </c>
      <c r="H44" s="19">
        <v>460</v>
      </c>
      <c r="I44" s="19">
        <v>950</v>
      </c>
      <c r="J44" s="19">
        <f t="shared" si="7"/>
        <v>1351.25</v>
      </c>
      <c r="K44" s="43" t="s">
        <v>1004</v>
      </c>
    </row>
    <row r="45" spans="1:11" x14ac:dyDescent="0.2">
      <c r="A45" s="327" t="s">
        <v>796</v>
      </c>
      <c r="B45" s="14" t="str">
        <f>Modeltabelle[[#This Row],[SAP Teile-bezeichnung]]</f>
        <v>CTG420-040-001</v>
      </c>
      <c r="C45" s="14" t="s">
        <v>486</v>
      </c>
      <c r="D45" s="14" t="s">
        <v>969</v>
      </c>
      <c r="E45" s="17">
        <v>420</v>
      </c>
      <c r="F45" s="15">
        <v>3000</v>
      </c>
      <c r="G45" s="19">
        <v>1425</v>
      </c>
      <c r="H45" s="19">
        <v>630</v>
      </c>
      <c r="I45" s="19">
        <v>1050</v>
      </c>
      <c r="J45" s="19">
        <f t="shared" si="7"/>
        <v>1638.7499999999998</v>
      </c>
      <c r="K45" s="43" t="s">
        <v>1015</v>
      </c>
    </row>
    <row r="46" spans="1:11" x14ac:dyDescent="0.2">
      <c r="A46" s="327" t="s">
        <v>797</v>
      </c>
      <c r="B46" s="14" t="str">
        <f>Modeltabelle[[#This Row],[SAP Teile-bezeichnung]]</f>
        <v>CTG420-040-002</v>
      </c>
      <c r="C46" s="14" t="s">
        <v>486</v>
      </c>
      <c r="D46" s="14" t="s">
        <v>969</v>
      </c>
      <c r="E46" s="17">
        <v>420</v>
      </c>
      <c r="F46" s="15">
        <v>3000</v>
      </c>
      <c r="G46" s="19">
        <v>1425</v>
      </c>
      <c r="H46" s="19">
        <v>630</v>
      </c>
      <c r="I46" s="19">
        <v>1050</v>
      </c>
      <c r="J46" s="19">
        <f t="shared" si="7"/>
        <v>1638.7499999999998</v>
      </c>
      <c r="K46" s="43" t="s">
        <v>1016</v>
      </c>
    </row>
    <row r="47" spans="1:11" x14ac:dyDescent="0.2">
      <c r="A47" s="327" t="s">
        <v>798</v>
      </c>
      <c r="B47" s="14" t="str">
        <f>Modeltabelle[[#This Row],[SAP Teile-bezeichnung]]</f>
        <v>CTG420-040-003</v>
      </c>
      <c r="C47" s="14" t="s">
        <v>486</v>
      </c>
      <c r="D47" s="14" t="s">
        <v>969</v>
      </c>
      <c r="E47" s="17">
        <v>420</v>
      </c>
      <c r="F47" s="15">
        <v>3000</v>
      </c>
      <c r="G47" s="19">
        <v>1425</v>
      </c>
      <c r="H47" s="19">
        <v>630</v>
      </c>
      <c r="I47" s="19">
        <v>1050</v>
      </c>
      <c r="J47" s="19">
        <f t="shared" si="7"/>
        <v>1638.7499999999998</v>
      </c>
      <c r="K47" s="43" t="s">
        <v>1017</v>
      </c>
    </row>
    <row r="48" spans="1:11" x14ac:dyDescent="0.2">
      <c r="A48" s="14" t="s">
        <v>100</v>
      </c>
      <c r="B48" s="14" t="str">
        <f>Modeltabelle[[#This Row],[SAP Teile-bezeichnung]]</f>
        <v>CTG420-040-0150</v>
      </c>
      <c r="C48" s="14" t="s">
        <v>486</v>
      </c>
      <c r="D48" s="14" t="s">
        <v>969</v>
      </c>
      <c r="E48" s="17">
        <v>420</v>
      </c>
      <c r="F48" s="15">
        <v>3000</v>
      </c>
      <c r="G48" s="19">
        <v>1425</v>
      </c>
      <c r="H48" s="19">
        <v>630</v>
      </c>
      <c r="I48" s="19">
        <v>1050</v>
      </c>
      <c r="J48" s="19">
        <f t="shared" si="7"/>
        <v>1638.7499999999998</v>
      </c>
      <c r="K48" s="43" t="s">
        <v>486</v>
      </c>
    </row>
    <row r="49" spans="1:11" x14ac:dyDescent="0.2">
      <c r="A49" s="14" t="s">
        <v>1112</v>
      </c>
      <c r="B49" s="14" t="str">
        <f>Modeltabelle[[#This Row],[SAP Teile-bezeichnung]]</f>
        <v>CTG420-040-0240</v>
      </c>
      <c r="C49" s="14" t="s">
        <v>486</v>
      </c>
      <c r="D49" s="14" t="s">
        <v>969</v>
      </c>
      <c r="E49" s="17">
        <v>420</v>
      </c>
      <c r="F49" s="15">
        <v>3000</v>
      </c>
      <c r="G49" s="19">
        <v>1425</v>
      </c>
      <c r="H49" s="19">
        <v>630</v>
      </c>
      <c r="I49" s="19">
        <v>1050</v>
      </c>
      <c r="J49" s="19">
        <f t="shared" ref="J49" si="8">G49*1.15</f>
        <v>1638.7499999999998</v>
      </c>
      <c r="K49" s="43" t="s">
        <v>486</v>
      </c>
    </row>
    <row r="50" spans="1:11" x14ac:dyDescent="0.2">
      <c r="A50" s="327" t="s">
        <v>1104</v>
      </c>
      <c r="B50" s="14" t="s">
        <v>1112</v>
      </c>
      <c r="C50" s="14" t="s">
        <v>486</v>
      </c>
      <c r="D50" s="14" t="s">
        <v>969</v>
      </c>
      <c r="E50" s="17">
        <v>420</v>
      </c>
      <c r="F50" s="15">
        <v>3000</v>
      </c>
      <c r="G50" s="43">
        <v>1425</v>
      </c>
      <c r="H50" s="43">
        <v>630</v>
      </c>
      <c r="I50" s="43">
        <v>1050</v>
      </c>
      <c r="J50" s="43">
        <f t="shared" si="7"/>
        <v>1638.7499999999998</v>
      </c>
      <c r="K50" s="43" t="s">
        <v>1107</v>
      </c>
    </row>
    <row r="51" spans="1:11" x14ac:dyDescent="0.2">
      <c r="A51" s="327" t="s">
        <v>1102</v>
      </c>
      <c r="B51" s="14" t="s">
        <v>1112</v>
      </c>
      <c r="C51" s="14" t="s">
        <v>486</v>
      </c>
      <c r="D51" s="14" t="s">
        <v>969</v>
      </c>
      <c r="E51" s="17">
        <v>420</v>
      </c>
      <c r="F51" s="15">
        <v>3000</v>
      </c>
      <c r="G51" s="43">
        <v>1425</v>
      </c>
      <c r="H51" s="43">
        <v>630</v>
      </c>
      <c r="I51" s="43">
        <v>1050</v>
      </c>
      <c r="J51" s="43">
        <f t="shared" si="7"/>
        <v>1638.7499999999998</v>
      </c>
      <c r="K51" s="43" t="s">
        <v>1103</v>
      </c>
    </row>
    <row r="52" spans="1:11" x14ac:dyDescent="0.2">
      <c r="A52" s="327" t="s">
        <v>1105</v>
      </c>
      <c r="B52" s="14" t="s">
        <v>1112</v>
      </c>
      <c r="C52" s="14" t="s">
        <v>486</v>
      </c>
      <c r="D52" s="14" t="s">
        <v>969</v>
      </c>
      <c r="E52" s="17">
        <v>420</v>
      </c>
      <c r="F52" s="15">
        <v>3000</v>
      </c>
      <c r="G52" s="43">
        <v>1425</v>
      </c>
      <c r="H52" s="43">
        <v>630</v>
      </c>
      <c r="I52" s="43">
        <v>1050</v>
      </c>
      <c r="J52" s="43">
        <f t="shared" si="7"/>
        <v>1638.7499999999998</v>
      </c>
      <c r="K52" s="43" t="s">
        <v>1108</v>
      </c>
    </row>
    <row r="53" spans="1:11" x14ac:dyDescent="0.2">
      <c r="A53" s="327" t="s">
        <v>1106</v>
      </c>
      <c r="B53" s="14" t="s">
        <v>1112</v>
      </c>
      <c r="C53" s="14" t="s">
        <v>486</v>
      </c>
      <c r="D53" s="14" t="s">
        <v>969</v>
      </c>
      <c r="E53" s="17">
        <v>420</v>
      </c>
      <c r="F53" s="15">
        <v>3000</v>
      </c>
      <c r="G53" s="43">
        <v>1425</v>
      </c>
      <c r="H53" s="43">
        <v>630</v>
      </c>
      <c r="I53" s="43">
        <v>1050</v>
      </c>
      <c r="J53" s="43">
        <f t="shared" ref="J53" si="9">G53*1.15</f>
        <v>1638.7499999999998</v>
      </c>
      <c r="K53" s="43" t="s">
        <v>1109</v>
      </c>
    </row>
    <row r="54" spans="1:11" x14ac:dyDescent="0.2">
      <c r="A54" s="327" t="s">
        <v>1489</v>
      </c>
      <c r="B54" s="14" t="s">
        <v>1112</v>
      </c>
      <c r="C54" s="14" t="s">
        <v>486</v>
      </c>
      <c r="D54" s="14" t="s">
        <v>969</v>
      </c>
      <c r="E54" s="17">
        <v>420</v>
      </c>
      <c r="F54" s="15">
        <v>3000</v>
      </c>
      <c r="G54" s="43">
        <v>1425</v>
      </c>
      <c r="H54" s="43">
        <v>630</v>
      </c>
      <c r="I54" s="43">
        <v>1050</v>
      </c>
      <c r="J54" s="43">
        <f t="shared" ref="J54:J55" si="10">G54*1.15</f>
        <v>1638.7499999999998</v>
      </c>
      <c r="K54" s="43" t="s">
        <v>1491</v>
      </c>
    </row>
    <row r="55" spans="1:11" x14ac:dyDescent="0.2">
      <c r="A55" s="327" t="s">
        <v>1490</v>
      </c>
      <c r="B55" s="14" t="s">
        <v>1112</v>
      </c>
      <c r="C55" s="14" t="s">
        <v>486</v>
      </c>
      <c r="D55" s="14" t="s">
        <v>969</v>
      </c>
      <c r="E55" s="17">
        <v>420</v>
      </c>
      <c r="F55" s="15">
        <v>3000</v>
      </c>
      <c r="G55" s="43">
        <v>1425</v>
      </c>
      <c r="H55" s="43">
        <v>630</v>
      </c>
      <c r="I55" s="43">
        <v>1050</v>
      </c>
      <c r="J55" s="43">
        <f t="shared" si="10"/>
        <v>1638.7499999999998</v>
      </c>
      <c r="K55" s="43" t="s">
        <v>1492</v>
      </c>
    </row>
    <row r="56" spans="1:11" x14ac:dyDescent="0.2">
      <c r="A56" s="327" t="s">
        <v>799</v>
      </c>
      <c r="B56" s="14" t="str">
        <f>Modeltabelle[[#This Row],[SAP Teile-bezeichnung]]</f>
        <v>CTG420-050-001</v>
      </c>
      <c r="C56" s="14" t="s">
        <v>486</v>
      </c>
      <c r="D56" s="14" t="s">
        <v>969</v>
      </c>
      <c r="E56" s="17">
        <v>420</v>
      </c>
      <c r="F56" s="15">
        <v>3000</v>
      </c>
      <c r="G56" s="19">
        <v>1425</v>
      </c>
      <c r="H56" s="19">
        <v>630</v>
      </c>
      <c r="I56" s="19">
        <v>1050</v>
      </c>
      <c r="J56" s="19">
        <f t="shared" si="7"/>
        <v>1638.7499999999998</v>
      </c>
      <c r="K56" s="43" t="s">
        <v>1009</v>
      </c>
    </row>
    <row r="57" spans="1:11" x14ac:dyDescent="0.2">
      <c r="A57" s="327" t="s">
        <v>800</v>
      </c>
      <c r="B57" s="14" t="str">
        <f>Modeltabelle[[#This Row],[SAP Teile-bezeichnung]]</f>
        <v>CTG420-050-002</v>
      </c>
      <c r="C57" s="14" t="s">
        <v>486</v>
      </c>
      <c r="D57" s="14" t="s">
        <v>969</v>
      </c>
      <c r="E57" s="17">
        <v>420</v>
      </c>
      <c r="F57" s="15">
        <v>3000</v>
      </c>
      <c r="G57" s="19">
        <v>1425</v>
      </c>
      <c r="H57" s="19">
        <v>630</v>
      </c>
      <c r="I57" s="19">
        <v>1050</v>
      </c>
      <c r="J57" s="19">
        <f t="shared" si="7"/>
        <v>1638.7499999999998</v>
      </c>
      <c r="K57" s="43" t="s">
        <v>1010</v>
      </c>
    </row>
    <row r="58" spans="1:11" x14ac:dyDescent="0.2">
      <c r="A58" s="327" t="s">
        <v>801</v>
      </c>
      <c r="B58" s="14" t="str">
        <f>Modeltabelle[[#This Row],[SAP Teile-bezeichnung]]</f>
        <v>CTG420-050-005</v>
      </c>
      <c r="C58" s="14" t="s">
        <v>486</v>
      </c>
      <c r="D58" s="14" t="s">
        <v>969</v>
      </c>
      <c r="E58" s="17">
        <v>420</v>
      </c>
      <c r="F58" s="15">
        <v>3000</v>
      </c>
      <c r="G58" s="19">
        <v>1425</v>
      </c>
      <c r="H58" s="19">
        <v>630</v>
      </c>
      <c r="I58" s="19">
        <v>1050</v>
      </c>
      <c r="J58" s="19">
        <f t="shared" si="7"/>
        <v>1638.7499999999998</v>
      </c>
      <c r="K58" s="43" t="s">
        <v>1011</v>
      </c>
    </row>
    <row r="59" spans="1:11" x14ac:dyDescent="0.2">
      <c r="A59" s="327" t="s">
        <v>802</v>
      </c>
      <c r="B59" s="14" t="str">
        <f>Modeltabelle[[#This Row],[SAP Teile-bezeichnung]]</f>
        <v>CTG420-050-006</v>
      </c>
      <c r="C59" s="14" t="s">
        <v>486</v>
      </c>
      <c r="D59" s="14" t="s">
        <v>969</v>
      </c>
      <c r="E59" s="17">
        <v>420</v>
      </c>
      <c r="F59" s="15">
        <v>3000</v>
      </c>
      <c r="G59" s="19">
        <v>1425</v>
      </c>
      <c r="H59" s="19">
        <v>630</v>
      </c>
      <c r="I59" s="19">
        <v>1050</v>
      </c>
      <c r="J59" s="19">
        <f t="shared" si="7"/>
        <v>1638.7499999999998</v>
      </c>
      <c r="K59" s="43" t="s">
        <v>1012</v>
      </c>
    </row>
    <row r="60" spans="1:11" x14ac:dyDescent="0.2">
      <c r="A60" s="327" t="s">
        <v>803</v>
      </c>
      <c r="B60" s="14" t="str">
        <f>Modeltabelle[[#This Row],[SAP Teile-bezeichnung]]</f>
        <v>CTG420-050-007</v>
      </c>
      <c r="C60" s="14" t="s">
        <v>486</v>
      </c>
      <c r="D60" s="14" t="s">
        <v>969</v>
      </c>
      <c r="E60" s="17">
        <v>420</v>
      </c>
      <c r="F60" s="15">
        <v>3000</v>
      </c>
      <c r="G60" s="19">
        <v>1425</v>
      </c>
      <c r="H60" s="19">
        <v>630</v>
      </c>
      <c r="I60" s="19">
        <v>1050</v>
      </c>
      <c r="J60" s="19">
        <f t="shared" si="7"/>
        <v>1638.7499999999998</v>
      </c>
      <c r="K60" s="43" t="s">
        <v>1013</v>
      </c>
    </row>
    <row r="61" spans="1:11" x14ac:dyDescent="0.2">
      <c r="A61" s="327" t="s">
        <v>804</v>
      </c>
      <c r="B61" s="14" t="str">
        <f>Modeltabelle[[#This Row],[SAP Teile-bezeichnung]]</f>
        <v>CTG420-050-008</v>
      </c>
      <c r="C61" s="14" t="s">
        <v>486</v>
      </c>
      <c r="D61" s="14" t="s">
        <v>969</v>
      </c>
      <c r="E61" s="17">
        <v>420</v>
      </c>
      <c r="F61" s="15">
        <v>3000</v>
      </c>
      <c r="G61" s="19">
        <v>1425</v>
      </c>
      <c r="H61" s="19">
        <v>630</v>
      </c>
      <c r="I61" s="19">
        <v>1050</v>
      </c>
      <c r="J61" s="19">
        <f t="shared" si="7"/>
        <v>1638.7499999999998</v>
      </c>
      <c r="K61" s="43" t="s">
        <v>1014</v>
      </c>
    </row>
    <row r="62" spans="1:11" x14ac:dyDescent="0.2">
      <c r="A62" s="327" t="s">
        <v>805</v>
      </c>
      <c r="B62" s="14" t="str">
        <f>Modeltabelle[[#This Row],[SAP Teile-bezeichnung]]</f>
        <v>CTG420-050-009</v>
      </c>
      <c r="C62" s="14" t="s">
        <v>486</v>
      </c>
      <c r="D62" s="14" t="s">
        <v>969</v>
      </c>
      <c r="E62" s="17">
        <v>420</v>
      </c>
      <c r="F62" s="15">
        <v>3000</v>
      </c>
      <c r="G62" s="19">
        <v>1425</v>
      </c>
      <c r="H62" s="19">
        <v>630</v>
      </c>
      <c r="I62" s="19">
        <v>1050</v>
      </c>
      <c r="J62" s="19">
        <f t="shared" si="7"/>
        <v>1638.7499999999998</v>
      </c>
      <c r="K62" s="43" t="s">
        <v>1020</v>
      </c>
    </row>
    <row r="63" spans="1:11" x14ac:dyDescent="0.2">
      <c r="A63" s="327" t="s">
        <v>806</v>
      </c>
      <c r="B63" s="14" t="str">
        <f>Modeltabelle[[#This Row],[SAP Teile-bezeichnung]]</f>
        <v>CTG420-050-010</v>
      </c>
      <c r="C63" s="14" t="s">
        <v>486</v>
      </c>
      <c r="D63" s="14" t="s">
        <v>969</v>
      </c>
      <c r="E63" s="17">
        <v>420</v>
      </c>
      <c r="F63" s="15">
        <v>3000</v>
      </c>
      <c r="G63" s="19">
        <v>1425</v>
      </c>
      <c r="H63" s="19">
        <v>630</v>
      </c>
      <c r="I63" s="19">
        <v>1050</v>
      </c>
      <c r="J63" s="19">
        <f t="shared" si="7"/>
        <v>1638.7499999999998</v>
      </c>
      <c r="K63" s="43" t="s">
        <v>1021</v>
      </c>
    </row>
    <row r="64" spans="1:11" x14ac:dyDescent="0.2">
      <c r="A64" s="327" t="s">
        <v>807</v>
      </c>
      <c r="B64" s="14" t="str">
        <f>Modeltabelle[[#This Row],[SAP Teile-bezeichnung]]</f>
        <v>CTG420-050-011</v>
      </c>
      <c r="C64" s="14" t="s">
        <v>486</v>
      </c>
      <c r="D64" s="14" t="s">
        <v>969</v>
      </c>
      <c r="E64" s="17">
        <v>420</v>
      </c>
      <c r="F64" s="15">
        <v>3000</v>
      </c>
      <c r="G64" s="19">
        <v>1425</v>
      </c>
      <c r="H64" s="19">
        <v>630</v>
      </c>
      <c r="I64" s="19">
        <v>1050</v>
      </c>
      <c r="J64" s="19">
        <f t="shared" si="7"/>
        <v>1638.7499999999998</v>
      </c>
      <c r="K64" s="43" t="s">
        <v>1018</v>
      </c>
    </row>
    <row r="65" spans="1:11" x14ac:dyDescent="0.2">
      <c r="A65" s="327" t="s">
        <v>808</v>
      </c>
      <c r="B65" s="14" t="str">
        <f>Modeltabelle[[#This Row],[SAP Teile-bezeichnung]]</f>
        <v>CTG420-050-012</v>
      </c>
      <c r="C65" s="14" t="s">
        <v>486</v>
      </c>
      <c r="D65" s="14" t="s">
        <v>969</v>
      </c>
      <c r="E65" s="17">
        <v>420</v>
      </c>
      <c r="F65" s="15">
        <v>3000</v>
      </c>
      <c r="G65" s="19">
        <v>1425</v>
      </c>
      <c r="H65" s="19">
        <v>630</v>
      </c>
      <c r="I65" s="19">
        <v>1050</v>
      </c>
      <c r="J65" s="19">
        <f t="shared" si="7"/>
        <v>1638.7499999999998</v>
      </c>
      <c r="K65" s="43" t="s">
        <v>1019</v>
      </c>
    </row>
    <row r="66" spans="1:11" x14ac:dyDescent="0.2">
      <c r="A66" s="327" t="s">
        <v>809</v>
      </c>
      <c r="B66" s="14" t="str">
        <f>Modeltabelle[[#This Row],[SAP Teile-bezeichnung]]</f>
        <v>CTG420-050-013</v>
      </c>
      <c r="C66" s="14" t="s">
        <v>486</v>
      </c>
      <c r="D66" s="14" t="s">
        <v>969</v>
      </c>
      <c r="E66" s="17">
        <v>420</v>
      </c>
      <c r="F66" s="15">
        <v>3000</v>
      </c>
      <c r="G66" s="19">
        <v>1425</v>
      </c>
      <c r="H66" s="19">
        <v>630</v>
      </c>
      <c r="I66" s="19">
        <v>1050</v>
      </c>
      <c r="J66" s="19">
        <f t="shared" si="7"/>
        <v>1638.7499999999998</v>
      </c>
      <c r="K66" s="43" t="s">
        <v>1007</v>
      </c>
    </row>
    <row r="67" spans="1:11" x14ac:dyDescent="0.2">
      <c r="A67" s="327" t="s">
        <v>810</v>
      </c>
      <c r="B67" s="14" t="str">
        <f>Modeltabelle[[#This Row],[SAP Teile-bezeichnung]]</f>
        <v>CTG420-050-014</v>
      </c>
      <c r="C67" s="14" t="s">
        <v>486</v>
      </c>
      <c r="D67" s="14" t="s">
        <v>969</v>
      </c>
      <c r="E67" s="17">
        <v>420</v>
      </c>
      <c r="F67" s="15">
        <v>3000</v>
      </c>
      <c r="G67" s="19">
        <v>1425</v>
      </c>
      <c r="H67" s="19">
        <v>630</v>
      </c>
      <c r="I67" s="19">
        <v>1050</v>
      </c>
      <c r="J67" s="19">
        <f t="shared" si="7"/>
        <v>1638.7499999999998</v>
      </c>
      <c r="K67" s="43" t="s">
        <v>1008</v>
      </c>
    </row>
    <row r="68" spans="1:11" x14ac:dyDescent="0.2">
      <c r="A68" s="327" t="s">
        <v>1816</v>
      </c>
      <c r="B68" s="14" t="s">
        <v>1112</v>
      </c>
      <c r="C68" s="14" t="s">
        <v>486</v>
      </c>
      <c r="D68" s="14" t="s">
        <v>969</v>
      </c>
      <c r="E68" s="17">
        <v>420</v>
      </c>
      <c r="F68" s="15">
        <v>3000</v>
      </c>
      <c r="G68" s="19">
        <v>1425</v>
      </c>
      <c r="H68" s="19">
        <v>630</v>
      </c>
      <c r="I68" s="19">
        <v>1050</v>
      </c>
      <c r="J68" s="19">
        <f t="shared" ref="J68" si="11">G68*1.15</f>
        <v>1638.7499999999998</v>
      </c>
      <c r="K68" s="43" t="s">
        <v>1817</v>
      </c>
    </row>
    <row r="69" spans="1:11" x14ac:dyDescent="0.2">
      <c r="A69" s="327" t="s">
        <v>1818</v>
      </c>
      <c r="B69" s="14" t="s">
        <v>1112</v>
      </c>
      <c r="C69" s="14" t="s">
        <v>486</v>
      </c>
      <c r="D69" s="14" t="s">
        <v>969</v>
      </c>
      <c r="E69" s="17">
        <v>420</v>
      </c>
      <c r="F69" s="15">
        <v>3000</v>
      </c>
      <c r="G69" s="19">
        <v>1425</v>
      </c>
      <c r="H69" s="19">
        <v>630</v>
      </c>
      <c r="I69" s="19">
        <v>1050</v>
      </c>
      <c r="J69" s="19">
        <f t="shared" ref="J69:J70" si="12">G69*1.15</f>
        <v>1638.7499999999998</v>
      </c>
      <c r="K69" s="43" t="s">
        <v>1820</v>
      </c>
    </row>
    <row r="70" spans="1:11" x14ac:dyDescent="0.2">
      <c r="A70" s="327" t="s">
        <v>1819</v>
      </c>
      <c r="B70" s="14" t="s">
        <v>1112</v>
      </c>
      <c r="C70" s="14" t="s">
        <v>486</v>
      </c>
      <c r="D70" s="14" t="s">
        <v>969</v>
      </c>
      <c r="E70" s="17">
        <v>420</v>
      </c>
      <c r="F70" s="15">
        <v>3000</v>
      </c>
      <c r="G70" s="19">
        <v>1425</v>
      </c>
      <c r="H70" s="19">
        <v>630</v>
      </c>
      <c r="I70" s="19">
        <v>1050</v>
      </c>
      <c r="J70" s="19">
        <f t="shared" si="12"/>
        <v>1638.7499999999998</v>
      </c>
      <c r="K70" s="43" t="s">
        <v>1821</v>
      </c>
    </row>
    <row r="71" spans="1:11" x14ac:dyDescent="0.2">
      <c r="A71" s="14" t="s">
        <v>101</v>
      </c>
      <c r="B71" s="14" t="str">
        <f>Modeltabelle[[#This Row],[SAP Teile-bezeichnung]]</f>
        <v>CTG420-050-0400</v>
      </c>
      <c r="C71" s="14" t="s">
        <v>486</v>
      </c>
      <c r="D71" s="14" t="s">
        <v>969</v>
      </c>
      <c r="E71" s="17">
        <v>420</v>
      </c>
      <c r="F71" s="15">
        <v>3000</v>
      </c>
      <c r="G71" s="19">
        <v>1425</v>
      </c>
      <c r="H71" s="19">
        <v>630</v>
      </c>
      <c r="I71" s="19">
        <v>1050</v>
      </c>
      <c r="J71" s="19">
        <f t="shared" si="7"/>
        <v>1638.7499999999998</v>
      </c>
      <c r="K71" s="43" t="e">
        <v>#N/A</v>
      </c>
    </row>
    <row r="72" spans="1:11" x14ac:dyDescent="0.2">
      <c r="A72" s="14" t="s">
        <v>162</v>
      </c>
      <c r="B72" s="14" t="str">
        <f>Modeltabelle[[#This Row],[SAP Teile-bezeichnung]]</f>
        <v>CTG420-050-0440</v>
      </c>
      <c r="C72" s="14" t="s">
        <v>486</v>
      </c>
      <c r="D72" s="14" t="s">
        <v>969</v>
      </c>
      <c r="E72" s="17">
        <v>420</v>
      </c>
      <c r="F72" s="15">
        <v>3000</v>
      </c>
      <c r="G72" s="19">
        <v>1425</v>
      </c>
      <c r="H72" s="19">
        <v>630</v>
      </c>
      <c r="I72" s="19">
        <v>1050</v>
      </c>
      <c r="J72" s="19">
        <f t="shared" si="7"/>
        <v>1638.7499999999998</v>
      </c>
      <c r="K72" s="43" t="s">
        <v>486</v>
      </c>
    </row>
    <row r="73" spans="1:11" x14ac:dyDescent="0.2">
      <c r="A73" s="327" t="s">
        <v>811</v>
      </c>
      <c r="B73" s="14" t="s">
        <v>102</v>
      </c>
      <c r="C73" s="14" t="s">
        <v>486</v>
      </c>
      <c r="D73" s="14" t="s">
        <v>969</v>
      </c>
      <c r="E73" s="17">
        <v>420</v>
      </c>
      <c r="F73" s="15">
        <v>3000</v>
      </c>
      <c r="G73" s="19">
        <v>1425</v>
      </c>
      <c r="H73" s="19">
        <v>630</v>
      </c>
      <c r="I73" s="19">
        <v>1050</v>
      </c>
      <c r="J73" s="19">
        <f t="shared" si="7"/>
        <v>1638.7499999999998</v>
      </c>
      <c r="K73" s="43" t="s">
        <v>1023</v>
      </c>
    </row>
    <row r="74" spans="1:11" x14ac:dyDescent="0.2">
      <c r="A74" s="327" t="s">
        <v>812</v>
      </c>
      <c r="B74" s="14" t="s">
        <v>102</v>
      </c>
      <c r="C74" s="14" t="s">
        <v>486</v>
      </c>
      <c r="D74" s="14" t="s">
        <v>969</v>
      </c>
      <c r="E74" s="17">
        <v>420</v>
      </c>
      <c r="F74" s="15">
        <v>3000</v>
      </c>
      <c r="G74" s="19">
        <v>1425</v>
      </c>
      <c r="H74" s="19">
        <v>630</v>
      </c>
      <c r="I74" s="19">
        <v>1050</v>
      </c>
      <c r="J74" s="19">
        <f t="shared" si="7"/>
        <v>1638.7499999999998</v>
      </c>
      <c r="K74" s="43" t="s">
        <v>1024</v>
      </c>
    </row>
    <row r="75" spans="1:11" x14ac:dyDescent="0.2">
      <c r="A75" s="327" t="s">
        <v>813</v>
      </c>
      <c r="B75" s="14" t="s">
        <v>102</v>
      </c>
      <c r="C75" s="14" t="s">
        <v>486</v>
      </c>
      <c r="D75" s="14" t="s">
        <v>969</v>
      </c>
      <c r="E75" s="17">
        <v>420</v>
      </c>
      <c r="F75" s="15">
        <v>3000</v>
      </c>
      <c r="G75" s="19">
        <v>1425</v>
      </c>
      <c r="H75" s="19">
        <v>630</v>
      </c>
      <c r="I75" s="19">
        <v>1050</v>
      </c>
      <c r="J75" s="19">
        <f t="shared" si="7"/>
        <v>1638.7499999999998</v>
      </c>
      <c r="K75" s="43" t="s">
        <v>1025</v>
      </c>
    </row>
    <row r="76" spans="1:11" x14ac:dyDescent="0.2">
      <c r="A76" s="327" t="s">
        <v>814</v>
      </c>
      <c r="B76" s="14" t="s">
        <v>102</v>
      </c>
      <c r="C76" s="14" t="s">
        <v>486</v>
      </c>
      <c r="D76" s="14" t="s">
        <v>969</v>
      </c>
      <c r="E76" s="17">
        <v>420</v>
      </c>
      <c r="F76" s="15">
        <v>3000</v>
      </c>
      <c r="G76" s="19">
        <v>1425</v>
      </c>
      <c r="H76" s="19">
        <v>630</v>
      </c>
      <c r="I76" s="19">
        <v>1050</v>
      </c>
      <c r="J76" s="19">
        <f t="shared" si="7"/>
        <v>1638.7499999999998</v>
      </c>
      <c r="K76" s="43" t="s">
        <v>1026</v>
      </c>
    </row>
    <row r="77" spans="1:11" x14ac:dyDescent="0.2">
      <c r="A77" s="327" t="s">
        <v>815</v>
      </c>
      <c r="B77" s="14" t="s">
        <v>102</v>
      </c>
      <c r="C77" s="14" t="s">
        <v>486</v>
      </c>
      <c r="D77" s="14" t="s">
        <v>969</v>
      </c>
      <c r="E77" s="17">
        <v>420</v>
      </c>
      <c r="F77" s="15">
        <v>3000</v>
      </c>
      <c r="G77" s="19">
        <v>1425</v>
      </c>
      <c r="H77" s="19">
        <v>630</v>
      </c>
      <c r="I77" s="19">
        <v>1050</v>
      </c>
      <c r="J77" s="19">
        <f t="shared" si="7"/>
        <v>1638.7499999999998</v>
      </c>
      <c r="K77" s="43" t="s">
        <v>1022</v>
      </c>
    </row>
    <row r="78" spans="1:11" x14ac:dyDescent="0.2">
      <c r="A78" s="14" t="s">
        <v>163</v>
      </c>
      <c r="B78" s="14" t="str">
        <f>Modeltabelle[[#This Row],[SAP Teile-bezeichnung]]</f>
        <v>CTG550-050-0150</v>
      </c>
      <c r="C78" s="14" t="s">
        <v>487</v>
      </c>
      <c r="D78" s="14" t="s">
        <v>969</v>
      </c>
      <c r="E78" s="17">
        <v>550</v>
      </c>
      <c r="F78" s="15"/>
      <c r="G78" s="19">
        <v>1550</v>
      </c>
      <c r="H78" s="19">
        <v>680</v>
      </c>
      <c r="I78" s="19">
        <v>1175</v>
      </c>
      <c r="J78" s="19">
        <f t="shared" si="7"/>
        <v>1782.4999999999998</v>
      </c>
      <c r="K78" s="43" t="s">
        <v>487</v>
      </c>
    </row>
    <row r="79" spans="1:11" x14ac:dyDescent="0.2">
      <c r="A79" s="14" t="s">
        <v>164</v>
      </c>
      <c r="B79" s="14" t="str">
        <f>Modeltabelle[[#This Row],[SAP Teile-bezeichnung]]</f>
        <v>CTG550-050-0440</v>
      </c>
      <c r="C79" s="14" t="s">
        <v>487</v>
      </c>
      <c r="D79" s="14" t="s">
        <v>969</v>
      </c>
      <c r="E79" s="17">
        <v>550</v>
      </c>
      <c r="F79" s="15"/>
      <c r="G79" s="19">
        <v>1550</v>
      </c>
      <c r="H79" s="19">
        <v>680</v>
      </c>
      <c r="I79" s="19">
        <v>1175</v>
      </c>
      <c r="J79" s="19">
        <f t="shared" si="7"/>
        <v>1782.4999999999998</v>
      </c>
      <c r="K79" s="43" t="s">
        <v>487</v>
      </c>
    </row>
    <row r="80" spans="1:11" x14ac:dyDescent="0.2">
      <c r="A80" s="14" t="s">
        <v>176</v>
      </c>
      <c r="B80" s="14" t="str">
        <f>Modeltabelle[[#This Row],[SAP Teile-bezeichnung]]</f>
        <v>CTG550-060-0600</v>
      </c>
      <c r="C80" s="14" t="s">
        <v>487</v>
      </c>
      <c r="D80" s="14" t="s">
        <v>969</v>
      </c>
      <c r="E80" s="17">
        <v>550</v>
      </c>
      <c r="F80" s="15"/>
      <c r="G80" s="19">
        <v>1550</v>
      </c>
      <c r="H80" s="19">
        <v>680</v>
      </c>
      <c r="I80" s="19">
        <v>1175</v>
      </c>
      <c r="J80" s="19">
        <f t="shared" si="7"/>
        <v>1782.4999999999998</v>
      </c>
      <c r="K80" s="43" t="s">
        <v>487</v>
      </c>
    </row>
    <row r="81" spans="1:11" x14ac:dyDescent="0.2">
      <c r="A81" s="327" t="s">
        <v>859</v>
      </c>
      <c r="B81" s="14" t="str">
        <f>Modeltabelle[[#This Row],[SAP Teile-bezeichnung]]</f>
        <v>CTG550-061-001</v>
      </c>
      <c r="C81" s="14" t="s">
        <v>487</v>
      </c>
      <c r="D81" s="14" t="s">
        <v>969</v>
      </c>
      <c r="E81" s="17">
        <v>550</v>
      </c>
      <c r="F81" s="15"/>
      <c r="G81" s="19">
        <v>1550</v>
      </c>
      <c r="H81" s="19">
        <v>680</v>
      </c>
      <c r="I81" s="19">
        <v>1175</v>
      </c>
      <c r="J81" s="19">
        <f t="shared" si="7"/>
        <v>1782.4999999999998</v>
      </c>
      <c r="K81" s="43" t="s">
        <v>1027</v>
      </c>
    </row>
    <row r="82" spans="1:11" x14ac:dyDescent="0.2">
      <c r="A82" s="14" t="s">
        <v>860</v>
      </c>
      <c r="B82" s="14" t="str">
        <f>Modeltabelle[[#This Row],[SAP Teile-bezeichnung]]</f>
        <v>CTG550-061-0600</v>
      </c>
      <c r="C82" s="14" t="s">
        <v>487</v>
      </c>
      <c r="D82" s="14" t="s">
        <v>969</v>
      </c>
      <c r="E82" s="17">
        <v>550</v>
      </c>
      <c r="F82" s="15"/>
      <c r="G82" s="19">
        <v>1550</v>
      </c>
      <c r="H82" s="19">
        <v>680</v>
      </c>
      <c r="I82" s="19">
        <v>1175</v>
      </c>
      <c r="J82" s="19">
        <f t="shared" si="7"/>
        <v>1782.4999999999998</v>
      </c>
      <c r="K82" s="43" t="s">
        <v>487</v>
      </c>
    </row>
    <row r="83" spans="1:11" x14ac:dyDescent="0.2">
      <c r="A83" s="14" t="s">
        <v>117</v>
      </c>
      <c r="B83" s="14" t="str">
        <f>Modeltabelle[[#This Row],[SAP Teile-bezeichnung]]</f>
        <v>CTG550G05</v>
      </c>
      <c r="C83" s="14" t="s">
        <v>487</v>
      </c>
      <c r="D83" s="14" t="s">
        <v>969</v>
      </c>
      <c r="E83" s="17">
        <v>550</v>
      </c>
      <c r="F83" s="15"/>
      <c r="G83" s="19">
        <v>1550</v>
      </c>
      <c r="H83" s="19">
        <v>680</v>
      </c>
      <c r="I83" s="19">
        <v>1175</v>
      </c>
      <c r="J83" s="19">
        <f t="shared" si="7"/>
        <v>1782.4999999999998</v>
      </c>
      <c r="K83" s="43" t="s">
        <v>438</v>
      </c>
    </row>
    <row r="84" spans="1:11" x14ac:dyDescent="0.2">
      <c r="A84" s="14" t="s">
        <v>173</v>
      </c>
      <c r="B84" s="14" t="str">
        <f>Modeltabelle[[#This Row],[SAP Teile-bezeichnung]]</f>
        <v>CTG800-060-0600</v>
      </c>
      <c r="C84" s="14" t="s">
        <v>489</v>
      </c>
      <c r="D84" s="14" t="s">
        <v>969</v>
      </c>
      <c r="E84" s="17">
        <v>800</v>
      </c>
      <c r="F84" s="15"/>
      <c r="G84" s="19">
        <v>2100</v>
      </c>
      <c r="H84" s="42" t="s">
        <v>4</v>
      </c>
      <c r="I84" s="19">
        <v>1550</v>
      </c>
      <c r="J84" s="19">
        <f t="shared" si="7"/>
        <v>2415</v>
      </c>
      <c r="K84" s="43" t="s">
        <v>1031</v>
      </c>
    </row>
    <row r="85" spans="1:11" x14ac:dyDescent="0.2">
      <c r="A85" s="14" t="s">
        <v>125</v>
      </c>
      <c r="B85" s="14" t="str">
        <f>Modeltabelle[[#This Row],[SAP Teile-bezeichnung]]</f>
        <v>CTG800G01</v>
      </c>
      <c r="C85" s="14" t="s">
        <v>489</v>
      </c>
      <c r="D85" s="14" t="s">
        <v>969</v>
      </c>
      <c r="E85" s="17">
        <v>800</v>
      </c>
      <c r="F85" s="15"/>
      <c r="G85" s="19">
        <v>2100</v>
      </c>
      <c r="H85" s="42" t="s">
        <v>4</v>
      </c>
      <c r="I85" s="19">
        <v>1550</v>
      </c>
      <c r="J85" s="19">
        <f t="shared" si="7"/>
        <v>2415</v>
      </c>
      <c r="K85" s="43" t="s">
        <v>439</v>
      </c>
    </row>
    <row r="86" spans="1:11" x14ac:dyDescent="0.2">
      <c r="A86" s="14" t="s">
        <v>126</v>
      </c>
      <c r="B86" s="14" t="str">
        <f>Modeltabelle[[#This Row],[SAP Teile-bezeichnung]]</f>
        <v>CTG800G03</v>
      </c>
      <c r="C86" s="14" t="s">
        <v>489</v>
      </c>
      <c r="D86" s="14" t="s">
        <v>969</v>
      </c>
      <c r="E86" s="17">
        <v>800</v>
      </c>
      <c r="F86" s="15"/>
      <c r="G86" s="19">
        <v>2100</v>
      </c>
      <c r="H86" s="42" t="s">
        <v>4</v>
      </c>
      <c r="I86" s="19">
        <v>1550</v>
      </c>
      <c r="J86" s="19">
        <f t="shared" si="7"/>
        <v>2415</v>
      </c>
      <c r="K86" s="43" t="s">
        <v>440</v>
      </c>
    </row>
    <row r="87" spans="1:11" x14ac:dyDescent="0.2">
      <c r="A87" s="14" t="s">
        <v>127</v>
      </c>
      <c r="B87" s="14" t="str">
        <f>Modeltabelle[[#This Row],[SAP Teile-bezeichnung]]</f>
        <v>CTG800G04</v>
      </c>
      <c r="C87" s="14" t="s">
        <v>489</v>
      </c>
      <c r="D87" s="14" t="s">
        <v>969</v>
      </c>
      <c r="E87" s="17">
        <v>800</v>
      </c>
      <c r="F87" s="15"/>
      <c r="G87" s="19">
        <v>2100</v>
      </c>
      <c r="H87" s="42" t="s">
        <v>4</v>
      </c>
      <c r="I87" s="19">
        <v>1550</v>
      </c>
      <c r="J87" s="19">
        <f t="shared" si="7"/>
        <v>2415</v>
      </c>
      <c r="K87" s="43" t="s">
        <v>441</v>
      </c>
    </row>
    <row r="88" spans="1:11" x14ac:dyDescent="0.2">
      <c r="A88" s="327" t="s">
        <v>789</v>
      </c>
      <c r="B88" s="14" t="s">
        <v>127</v>
      </c>
      <c r="C88" s="14" t="s">
        <v>489</v>
      </c>
      <c r="D88" s="14" t="s">
        <v>969</v>
      </c>
      <c r="E88" s="17">
        <v>800</v>
      </c>
      <c r="F88" s="15"/>
      <c r="G88" s="19">
        <v>2100</v>
      </c>
      <c r="H88" s="42" t="s">
        <v>4</v>
      </c>
      <c r="I88" s="19">
        <v>1550</v>
      </c>
      <c r="J88" s="19">
        <f t="shared" si="7"/>
        <v>2415</v>
      </c>
      <c r="K88" s="43" t="s">
        <v>1028</v>
      </c>
    </row>
    <row r="89" spans="1:11" x14ac:dyDescent="0.2">
      <c r="A89" s="14" t="s">
        <v>128</v>
      </c>
      <c r="B89" s="14" t="str">
        <f>Modeltabelle[[#This Row],[SAP Teile-bezeichnung]]</f>
        <v>CTG800G04-1</v>
      </c>
      <c r="C89" s="14" t="s">
        <v>489</v>
      </c>
      <c r="D89" s="14" t="s">
        <v>969</v>
      </c>
      <c r="E89" s="17">
        <v>800</v>
      </c>
      <c r="F89" s="15"/>
      <c r="G89" s="19">
        <v>2100</v>
      </c>
      <c r="H89" s="42" t="s">
        <v>4</v>
      </c>
      <c r="I89" s="19">
        <v>1550</v>
      </c>
      <c r="J89" s="19">
        <f t="shared" si="7"/>
        <v>2415</v>
      </c>
      <c r="K89" s="43" t="s">
        <v>1030</v>
      </c>
    </row>
    <row r="90" spans="1:11" x14ac:dyDescent="0.2">
      <c r="A90" s="14" t="s">
        <v>129</v>
      </c>
      <c r="B90" s="14" t="str">
        <f>Modeltabelle[[#This Row],[SAP Teile-bezeichnung]]</f>
        <v>CTG800G05</v>
      </c>
      <c r="C90" s="14" t="s">
        <v>489</v>
      </c>
      <c r="D90" s="14" t="s">
        <v>969</v>
      </c>
      <c r="E90" s="17">
        <v>800</v>
      </c>
      <c r="F90" s="15"/>
      <c r="G90" s="19">
        <v>2100</v>
      </c>
      <c r="H90" s="42" t="s">
        <v>4</v>
      </c>
      <c r="I90" s="19">
        <v>1550</v>
      </c>
      <c r="J90" s="19">
        <f t="shared" si="7"/>
        <v>2415</v>
      </c>
      <c r="K90" s="43" t="s">
        <v>442</v>
      </c>
    </row>
    <row r="91" spans="1:11" x14ac:dyDescent="0.2">
      <c r="A91" s="327" t="s">
        <v>790</v>
      </c>
      <c r="B91" s="14" t="s">
        <v>129</v>
      </c>
      <c r="C91" s="14" t="s">
        <v>489</v>
      </c>
      <c r="D91" s="14" t="s">
        <v>969</v>
      </c>
      <c r="E91" s="17">
        <v>800</v>
      </c>
      <c r="F91" s="15"/>
      <c r="G91" s="19">
        <v>2100</v>
      </c>
      <c r="H91" s="42" t="s">
        <v>4</v>
      </c>
      <c r="I91" s="19">
        <v>1550</v>
      </c>
      <c r="J91" s="19">
        <f t="shared" si="7"/>
        <v>2415</v>
      </c>
      <c r="K91" s="43" t="s">
        <v>1029</v>
      </c>
    </row>
    <row r="92" spans="1:11" x14ac:dyDescent="0.2">
      <c r="A92" s="14" t="s">
        <v>1470</v>
      </c>
      <c r="B92" s="14" t="str">
        <f>Modeltabelle[[#This Row],[SAP Teile-bezeichnung]]</f>
        <v>DCTG550G01</v>
      </c>
      <c r="C92" s="14" t="s">
        <v>1474</v>
      </c>
      <c r="D92" s="14" t="s">
        <v>969</v>
      </c>
      <c r="E92" s="17">
        <v>362</v>
      </c>
      <c r="F92" s="15"/>
      <c r="G92" s="19"/>
      <c r="H92" s="19"/>
      <c r="I92" s="19"/>
      <c r="J92" s="19"/>
      <c r="K92" s="43" t="s">
        <v>1475</v>
      </c>
    </row>
    <row r="93" spans="1:11" x14ac:dyDescent="0.2">
      <c r="A93" s="14" t="s">
        <v>177</v>
      </c>
      <c r="B93" s="14" t="str">
        <f>Modeltabelle[[#This Row],[SAP Teile-bezeichnung]]</f>
        <v>DCTG550G03</v>
      </c>
      <c r="C93" s="14" t="s">
        <v>490</v>
      </c>
      <c r="D93" s="14" t="s">
        <v>969</v>
      </c>
      <c r="E93" s="17">
        <v>550</v>
      </c>
      <c r="F93" s="15"/>
      <c r="G93" s="19">
        <v>1550</v>
      </c>
      <c r="H93" s="19">
        <v>680</v>
      </c>
      <c r="I93" s="19">
        <v>1175</v>
      </c>
      <c r="J93" s="19">
        <f t="shared" ref="J93" si="13">G93*1.15</f>
        <v>1782.4999999999998</v>
      </c>
      <c r="K93" s="43" t="s">
        <v>1095</v>
      </c>
    </row>
    <row r="94" spans="1:11" x14ac:dyDescent="0.2">
      <c r="A94" s="14" t="s">
        <v>1471</v>
      </c>
      <c r="B94" s="14" t="str">
        <f>Modeltabelle[[#This Row],[SAP Teile-bezeichnung]]</f>
        <v>DCTG800G04-001</v>
      </c>
      <c r="C94" s="14" t="s">
        <v>1473</v>
      </c>
      <c r="D94" s="14" t="s">
        <v>969</v>
      </c>
      <c r="E94" s="17">
        <v>800</v>
      </c>
      <c r="F94" s="15"/>
      <c r="G94" s="43">
        <v>2100</v>
      </c>
      <c r="H94" s="43">
        <v>975</v>
      </c>
      <c r="I94" s="43">
        <v>1550</v>
      </c>
      <c r="J94" s="19">
        <v>2310</v>
      </c>
      <c r="K94" s="43" t="s">
        <v>1472</v>
      </c>
    </row>
    <row r="95" spans="1:11" x14ac:dyDescent="0.2">
      <c r="A95" s="14" t="s">
        <v>137</v>
      </c>
      <c r="B95" s="14" t="str">
        <f>Modeltabelle[[#This Row],[SAP Teile-bezeichnung]]</f>
        <v>DFP1100E00</v>
      </c>
      <c r="C95" s="14" t="s">
        <v>463</v>
      </c>
      <c r="D95" s="14" t="s">
        <v>59</v>
      </c>
      <c r="E95" s="17">
        <v>1100</v>
      </c>
      <c r="F95" s="15"/>
      <c r="G95" s="19">
        <v>2400</v>
      </c>
      <c r="H95" s="19"/>
      <c r="I95" s="19" t="s">
        <v>4</v>
      </c>
      <c r="J95" s="19">
        <f t="shared" si="7"/>
        <v>2760</v>
      </c>
      <c r="K95" s="43" t="e">
        <v>#N/A</v>
      </c>
    </row>
    <row r="96" spans="1:11" x14ac:dyDescent="0.2">
      <c r="A96" s="14" t="s">
        <v>64</v>
      </c>
      <c r="B96" s="14" t="str">
        <f>Modeltabelle[[#This Row],[SAP Teile-bezeichnung]]</f>
        <v>DFP123E00</v>
      </c>
      <c r="C96" s="14" t="s">
        <v>464</v>
      </c>
      <c r="D96" s="14" t="s">
        <v>59</v>
      </c>
      <c r="E96" s="17">
        <v>123</v>
      </c>
      <c r="F96" s="15">
        <v>1100</v>
      </c>
      <c r="G96" s="19">
        <v>1425</v>
      </c>
      <c r="H96" s="19">
        <v>230</v>
      </c>
      <c r="I96" s="19" t="s">
        <v>4</v>
      </c>
      <c r="J96" s="19">
        <f t="shared" si="7"/>
        <v>1638.7499999999998</v>
      </c>
      <c r="K96" s="43" t="e">
        <v>#N/A</v>
      </c>
    </row>
    <row r="97" spans="1:11" x14ac:dyDescent="0.2">
      <c r="A97" s="14" t="s">
        <v>80</v>
      </c>
      <c r="B97" s="14" t="str">
        <f>Modeltabelle[[#This Row],[SAP Teile-bezeichnung]]</f>
        <v>DFP245E00</v>
      </c>
      <c r="C97" s="14" t="s">
        <v>465</v>
      </c>
      <c r="D97" s="14" t="s">
        <v>59</v>
      </c>
      <c r="E97" s="17">
        <v>245</v>
      </c>
      <c r="F97" s="15"/>
      <c r="G97" s="19">
        <v>2400</v>
      </c>
      <c r="H97" s="19">
        <v>460</v>
      </c>
      <c r="I97" s="19" t="s">
        <v>4</v>
      </c>
      <c r="J97" s="19">
        <f t="shared" si="7"/>
        <v>2760</v>
      </c>
      <c r="K97" s="43" t="s">
        <v>465</v>
      </c>
    </row>
    <row r="98" spans="1:11" x14ac:dyDescent="0.2">
      <c r="A98" s="14" t="s">
        <v>87</v>
      </c>
      <c r="B98" s="14" t="str">
        <f>Modeltabelle[[#This Row],[SAP Teile-bezeichnung]]</f>
        <v>DFP300E00</v>
      </c>
      <c r="C98" s="14" t="s">
        <v>466</v>
      </c>
      <c r="D98" s="14" t="s">
        <v>59</v>
      </c>
      <c r="E98" s="17">
        <v>300</v>
      </c>
      <c r="F98" s="15">
        <v>1900</v>
      </c>
      <c r="G98" s="19">
        <v>1050</v>
      </c>
      <c r="H98" s="19">
        <v>460</v>
      </c>
      <c r="I98" s="19" t="s">
        <v>4</v>
      </c>
      <c r="J98" s="19">
        <f t="shared" si="7"/>
        <v>1207.5</v>
      </c>
      <c r="K98" s="43" t="s">
        <v>466</v>
      </c>
    </row>
    <row r="99" spans="1:11" x14ac:dyDescent="0.2">
      <c r="A99" s="14" t="s">
        <v>95</v>
      </c>
      <c r="B99" s="14" t="str">
        <f>Modeltabelle[[#This Row],[SAP Teile-bezeichnung]]</f>
        <v>DFP362E00</v>
      </c>
      <c r="C99" s="14" t="s">
        <v>467</v>
      </c>
      <c r="D99" s="14" t="s">
        <v>59</v>
      </c>
      <c r="E99" s="17">
        <v>362</v>
      </c>
      <c r="F99" s="15"/>
      <c r="G99" s="19">
        <v>1175</v>
      </c>
      <c r="H99" s="19">
        <v>460</v>
      </c>
      <c r="I99" s="19">
        <v>950</v>
      </c>
      <c r="J99" s="19">
        <f t="shared" ref="J99:J163" si="14">G99*1.15</f>
        <v>1351.25</v>
      </c>
      <c r="K99" s="43" t="e">
        <v>#N/A</v>
      </c>
    </row>
    <row r="100" spans="1:11" x14ac:dyDescent="0.2">
      <c r="A100" s="14" t="s">
        <v>103</v>
      </c>
      <c r="B100" s="14" t="str">
        <f>Modeltabelle[[#This Row],[SAP Teile-bezeichnung]]</f>
        <v>DFP420E00</v>
      </c>
      <c r="C100" s="14" t="s">
        <v>468</v>
      </c>
      <c r="D100" s="14" t="s">
        <v>59</v>
      </c>
      <c r="E100" s="17">
        <v>420</v>
      </c>
      <c r="F100" s="15"/>
      <c r="G100" s="19">
        <v>1425</v>
      </c>
      <c r="H100" s="19">
        <v>630</v>
      </c>
      <c r="I100" s="19">
        <v>1050</v>
      </c>
      <c r="J100" s="19">
        <f t="shared" si="14"/>
        <v>1638.7499999999998</v>
      </c>
      <c r="K100" s="43" t="s">
        <v>988</v>
      </c>
    </row>
    <row r="101" spans="1:11" x14ac:dyDescent="0.2">
      <c r="A101" s="14" t="s">
        <v>118</v>
      </c>
      <c r="B101" s="14" t="str">
        <f>Modeltabelle[[#This Row],[SAP Teile-bezeichnung]]</f>
        <v>DFP550E00</v>
      </c>
      <c r="C101" s="14" t="s">
        <v>469</v>
      </c>
      <c r="D101" s="14" t="s">
        <v>59</v>
      </c>
      <c r="E101" s="17">
        <v>550</v>
      </c>
      <c r="F101" s="15"/>
      <c r="G101" s="19">
        <v>1550</v>
      </c>
      <c r="H101" s="19"/>
      <c r="I101" s="19" t="s">
        <v>4</v>
      </c>
      <c r="J101" s="19">
        <f t="shared" si="14"/>
        <v>1782.4999999999998</v>
      </c>
      <c r="K101" s="43" t="s">
        <v>469</v>
      </c>
    </row>
    <row r="102" spans="1:11" x14ac:dyDescent="0.2">
      <c r="A102" s="14" t="s">
        <v>124</v>
      </c>
      <c r="B102" s="14" t="str">
        <f>Modeltabelle[[#This Row],[SAP Teile-bezeichnung]]</f>
        <v>DFP600E00</v>
      </c>
      <c r="C102" s="14" t="s">
        <v>470</v>
      </c>
      <c r="D102" s="14" t="s">
        <v>59</v>
      </c>
      <c r="E102" s="17">
        <v>600</v>
      </c>
      <c r="F102" s="15"/>
      <c r="G102" s="19">
        <v>1425</v>
      </c>
      <c r="H102" s="19"/>
      <c r="I102" s="19" t="s">
        <v>4</v>
      </c>
      <c r="J102" s="19">
        <f t="shared" si="14"/>
        <v>1638.7499999999998</v>
      </c>
      <c r="K102" s="43" t="e">
        <v>#N/A</v>
      </c>
    </row>
    <row r="103" spans="1:11" x14ac:dyDescent="0.2">
      <c r="A103" s="14" t="s">
        <v>130</v>
      </c>
      <c r="B103" s="14" t="str">
        <f>Modeltabelle[[#This Row],[SAP Teile-bezeichnung]]</f>
        <v>DFP800E00</v>
      </c>
      <c r="C103" s="14" t="s">
        <v>471</v>
      </c>
      <c r="D103" s="14" t="s">
        <v>59</v>
      </c>
      <c r="E103" s="17">
        <v>800</v>
      </c>
      <c r="F103" s="15"/>
      <c r="G103" s="19">
        <v>2100</v>
      </c>
      <c r="H103" s="42" t="s">
        <v>4</v>
      </c>
      <c r="I103" s="19">
        <v>1550</v>
      </c>
      <c r="J103" s="19">
        <f t="shared" si="14"/>
        <v>2415</v>
      </c>
      <c r="K103" s="43" t="s">
        <v>471</v>
      </c>
    </row>
    <row r="104" spans="1:11" x14ac:dyDescent="0.2">
      <c r="A104" s="14" t="s">
        <v>138</v>
      </c>
      <c r="B104" s="14" t="str">
        <f>Modeltabelle[[#This Row],[SAP Teile-bezeichnung]]</f>
        <v>DFS1100E00</v>
      </c>
      <c r="C104" s="14" t="s">
        <v>472</v>
      </c>
      <c r="D104" s="14" t="s">
        <v>59</v>
      </c>
      <c r="E104" s="17">
        <v>1100</v>
      </c>
      <c r="F104" s="15"/>
      <c r="G104" s="19">
        <v>2400</v>
      </c>
      <c r="H104" s="19"/>
      <c r="I104" s="19" t="s">
        <v>4</v>
      </c>
      <c r="J104" s="19">
        <f t="shared" si="14"/>
        <v>2760</v>
      </c>
      <c r="K104" s="43" t="s">
        <v>472</v>
      </c>
    </row>
    <row r="105" spans="1:11" x14ac:dyDescent="0.2">
      <c r="A105" s="14" t="s">
        <v>65</v>
      </c>
      <c r="B105" s="14" t="str">
        <f>Modeltabelle[[#This Row],[SAP Teile-bezeichnung]]</f>
        <v>DFS123E00</v>
      </c>
      <c r="C105" s="14" t="s">
        <v>476</v>
      </c>
      <c r="D105" s="14" t="s">
        <v>59</v>
      </c>
      <c r="E105" s="17">
        <v>123</v>
      </c>
      <c r="F105" s="15">
        <v>1100</v>
      </c>
      <c r="G105" s="19">
        <v>550</v>
      </c>
      <c r="H105" s="19">
        <v>230</v>
      </c>
      <c r="I105" s="19" t="s">
        <v>4</v>
      </c>
      <c r="J105" s="19">
        <f t="shared" si="14"/>
        <v>632.5</v>
      </c>
      <c r="K105" s="43" t="s">
        <v>476</v>
      </c>
    </row>
    <row r="106" spans="1:11" x14ac:dyDescent="0.2">
      <c r="A106" s="14" t="s">
        <v>72</v>
      </c>
      <c r="B106" s="14" t="str">
        <f>Modeltabelle[[#This Row],[SAP Teile-bezeichnung]]</f>
        <v>DFS145E00</v>
      </c>
      <c r="C106" s="14" t="s">
        <v>473</v>
      </c>
      <c r="D106" s="14" t="s">
        <v>59</v>
      </c>
      <c r="E106" s="17">
        <v>145</v>
      </c>
      <c r="F106" s="15">
        <v>1250</v>
      </c>
      <c r="G106" s="19">
        <v>650</v>
      </c>
      <c r="H106" s="19"/>
      <c r="I106" s="19" t="s">
        <v>4</v>
      </c>
      <c r="J106" s="19">
        <f t="shared" si="14"/>
        <v>747.49999999999989</v>
      </c>
      <c r="K106" s="43" t="s">
        <v>473</v>
      </c>
    </row>
    <row r="107" spans="1:11" x14ac:dyDescent="0.2">
      <c r="A107" s="14" t="s">
        <v>81</v>
      </c>
      <c r="B107" s="14" t="str">
        <f>Modeltabelle[[#This Row],[SAP Teile-bezeichnung]]</f>
        <v>DFS245E00</v>
      </c>
      <c r="C107" s="14" t="s">
        <v>474</v>
      </c>
      <c r="D107" s="14" t="s">
        <v>59</v>
      </c>
      <c r="E107" s="17">
        <v>245</v>
      </c>
      <c r="F107" s="15"/>
      <c r="G107" s="19">
        <v>1050</v>
      </c>
      <c r="H107" s="19">
        <v>460</v>
      </c>
      <c r="I107" s="19" t="s">
        <v>4</v>
      </c>
      <c r="J107" s="19">
        <f t="shared" si="14"/>
        <v>1207.5</v>
      </c>
      <c r="K107" s="43" t="s">
        <v>474</v>
      </c>
    </row>
    <row r="108" spans="1:11" x14ac:dyDescent="0.2">
      <c r="A108" s="14" t="s">
        <v>88</v>
      </c>
      <c r="B108" s="14" t="str">
        <f>Modeltabelle[[#This Row],[SAP Teile-bezeichnung]]</f>
        <v>DFS300E00</v>
      </c>
      <c r="C108" s="14" t="s">
        <v>475</v>
      </c>
      <c r="D108" s="14" t="s">
        <v>59</v>
      </c>
      <c r="E108" s="17">
        <v>300</v>
      </c>
      <c r="F108" s="15">
        <v>1900</v>
      </c>
      <c r="G108" s="19">
        <v>1050</v>
      </c>
      <c r="H108" s="19">
        <v>460</v>
      </c>
      <c r="I108" s="19" t="s">
        <v>4</v>
      </c>
      <c r="J108" s="19">
        <f t="shared" si="14"/>
        <v>1207.5</v>
      </c>
      <c r="K108" s="43" t="s">
        <v>475</v>
      </c>
    </row>
    <row r="109" spans="1:11" x14ac:dyDescent="0.2">
      <c r="A109" s="14" t="s">
        <v>167</v>
      </c>
      <c r="B109" s="14" t="str">
        <f>Modeltabelle[[#This Row],[SAP Teile-bezeichnung]]</f>
        <v>DFS315</v>
      </c>
      <c r="C109" s="14" t="s">
        <v>421</v>
      </c>
      <c r="D109" s="14" t="s">
        <v>59</v>
      </c>
      <c r="E109" s="17">
        <v>315</v>
      </c>
      <c r="F109" s="15"/>
      <c r="G109" s="19">
        <v>950</v>
      </c>
      <c r="H109" s="19"/>
      <c r="I109" s="19" t="s">
        <v>4</v>
      </c>
      <c r="J109" s="19">
        <f t="shared" si="14"/>
        <v>1092.5</v>
      </c>
      <c r="K109" s="43" t="e">
        <v>#N/A</v>
      </c>
    </row>
    <row r="110" spans="1:11" x14ac:dyDescent="0.2">
      <c r="A110" s="14" t="s">
        <v>96</v>
      </c>
      <c r="B110" s="14" t="str">
        <f>Modeltabelle[[#This Row],[SAP Teile-bezeichnung]]</f>
        <v>DFS362E00</v>
      </c>
      <c r="C110" s="14" t="s">
        <v>477</v>
      </c>
      <c r="D110" s="14" t="s">
        <v>59</v>
      </c>
      <c r="E110" s="17">
        <v>362</v>
      </c>
      <c r="F110" s="15"/>
      <c r="G110" s="19">
        <v>1175</v>
      </c>
      <c r="H110" s="19">
        <v>460</v>
      </c>
      <c r="I110" s="19">
        <v>950</v>
      </c>
      <c r="J110" s="19">
        <f t="shared" si="14"/>
        <v>1351.25</v>
      </c>
      <c r="K110" s="43" t="s">
        <v>477</v>
      </c>
    </row>
    <row r="111" spans="1:11" x14ac:dyDescent="0.2">
      <c r="A111" s="14" t="s">
        <v>104</v>
      </c>
      <c r="B111" s="14" t="str">
        <f>Modeltabelle[[#This Row],[SAP Teile-bezeichnung]]</f>
        <v>DFS420-2000</v>
      </c>
      <c r="C111" s="14" t="s">
        <v>422</v>
      </c>
      <c r="D111" s="14" t="s">
        <v>59</v>
      </c>
      <c r="E111" s="17">
        <v>420</v>
      </c>
      <c r="F111" s="15"/>
      <c r="G111" s="19">
        <v>1425</v>
      </c>
      <c r="H111" s="19">
        <v>630</v>
      </c>
      <c r="I111" s="19">
        <v>1050</v>
      </c>
      <c r="J111" s="19">
        <f t="shared" si="14"/>
        <v>1638.7499999999998</v>
      </c>
      <c r="K111" s="43" t="e">
        <v>#N/A</v>
      </c>
    </row>
    <row r="112" spans="1:11" x14ac:dyDescent="0.2">
      <c r="A112" s="14" t="s">
        <v>105</v>
      </c>
      <c r="B112" s="14" t="str">
        <f>Modeltabelle[[#This Row],[SAP Teile-bezeichnung]]</f>
        <v>DFS420-2500</v>
      </c>
      <c r="C112" s="14" t="s">
        <v>423</v>
      </c>
      <c r="D112" s="14" t="s">
        <v>59</v>
      </c>
      <c r="E112" s="17">
        <v>420</v>
      </c>
      <c r="F112" s="15"/>
      <c r="G112" s="19">
        <v>1425</v>
      </c>
      <c r="H112" s="19">
        <v>630</v>
      </c>
      <c r="I112" s="19">
        <v>1050</v>
      </c>
      <c r="J112" s="19">
        <f t="shared" si="14"/>
        <v>1638.7499999999998</v>
      </c>
      <c r="K112" s="43" t="e">
        <v>#N/A</v>
      </c>
    </row>
    <row r="113" spans="1:11" x14ac:dyDescent="0.2">
      <c r="A113" s="14" t="s">
        <v>106</v>
      </c>
      <c r="B113" s="14" t="str">
        <f>Modeltabelle[[#This Row],[SAP Teile-bezeichnung]]</f>
        <v>DFS420-4000</v>
      </c>
      <c r="C113" s="14" t="s">
        <v>424</v>
      </c>
      <c r="D113" s="14" t="s">
        <v>59</v>
      </c>
      <c r="E113" s="17">
        <v>420</v>
      </c>
      <c r="F113" s="15"/>
      <c r="G113" s="19">
        <v>1425</v>
      </c>
      <c r="H113" s="19">
        <v>630</v>
      </c>
      <c r="I113" s="19">
        <v>1050</v>
      </c>
      <c r="J113" s="19">
        <f t="shared" si="14"/>
        <v>1638.7499999999998</v>
      </c>
      <c r="K113" s="43" t="e">
        <v>#N/A</v>
      </c>
    </row>
    <row r="114" spans="1:11" x14ac:dyDescent="0.2">
      <c r="A114" s="14" t="s">
        <v>107</v>
      </c>
      <c r="B114" s="14" t="str">
        <f>Modeltabelle[[#This Row],[SAP Teile-bezeichnung]]</f>
        <v>DFS420-5000</v>
      </c>
      <c r="C114" s="14" t="s">
        <v>425</v>
      </c>
      <c r="D114" s="14" t="s">
        <v>59</v>
      </c>
      <c r="E114" s="17">
        <v>420</v>
      </c>
      <c r="F114" s="15"/>
      <c r="G114" s="19">
        <v>1425</v>
      </c>
      <c r="H114" s="19">
        <v>630</v>
      </c>
      <c r="I114" s="19">
        <v>1050</v>
      </c>
      <c r="J114" s="19">
        <f t="shared" si="14"/>
        <v>1638.7499999999998</v>
      </c>
      <c r="K114" s="43" t="e">
        <v>#N/A</v>
      </c>
    </row>
    <row r="115" spans="1:11" x14ac:dyDescent="0.2">
      <c r="A115" s="14" t="s">
        <v>108</v>
      </c>
      <c r="B115" s="14" t="str">
        <f>Modeltabelle[[#This Row],[SAP Teile-bezeichnung]]</f>
        <v>DFS420E00</v>
      </c>
      <c r="C115" s="14" t="s">
        <v>478</v>
      </c>
      <c r="D115" s="14" t="s">
        <v>59</v>
      </c>
      <c r="E115" s="17">
        <v>420</v>
      </c>
      <c r="F115" s="15"/>
      <c r="G115" s="19">
        <v>1425</v>
      </c>
      <c r="H115" s="19">
        <v>630</v>
      </c>
      <c r="I115" s="19">
        <v>1050</v>
      </c>
      <c r="J115" s="19">
        <f t="shared" si="14"/>
        <v>1638.7499999999998</v>
      </c>
      <c r="K115" s="43" t="s">
        <v>478</v>
      </c>
    </row>
    <row r="116" spans="1:11" x14ac:dyDescent="0.2">
      <c r="A116" s="14" t="s">
        <v>109</v>
      </c>
      <c r="B116" s="14" t="str">
        <f>Modeltabelle[[#This Row],[SAP Teile-bezeichnung]]</f>
        <v>DFS420L</v>
      </c>
      <c r="C116" s="14" t="s">
        <v>426</v>
      </c>
      <c r="D116" s="14" t="s">
        <v>59</v>
      </c>
      <c r="E116" s="17">
        <v>420</v>
      </c>
      <c r="F116" s="15"/>
      <c r="G116" s="19">
        <v>1425</v>
      </c>
      <c r="H116" s="19">
        <v>630</v>
      </c>
      <c r="I116" s="19">
        <v>1050</v>
      </c>
      <c r="J116" s="19">
        <f t="shared" si="14"/>
        <v>1638.7499999999998</v>
      </c>
      <c r="K116" s="43" t="e">
        <v>#N/A</v>
      </c>
    </row>
    <row r="117" spans="1:11" x14ac:dyDescent="0.2">
      <c r="A117" s="14" t="s">
        <v>119</v>
      </c>
      <c r="B117" s="14" t="str">
        <f>Modeltabelle[[#This Row],[SAP Teile-bezeichnung]]</f>
        <v>DFS550E00</v>
      </c>
      <c r="C117" s="14" t="s">
        <v>479</v>
      </c>
      <c r="D117" s="14" t="s">
        <v>59</v>
      </c>
      <c r="E117" s="17">
        <v>550</v>
      </c>
      <c r="F117" s="15"/>
      <c r="G117" s="19">
        <v>1550</v>
      </c>
      <c r="H117" s="19"/>
      <c r="I117" s="19" t="s">
        <v>4</v>
      </c>
      <c r="J117" s="19">
        <f t="shared" si="14"/>
        <v>1782.4999999999998</v>
      </c>
      <c r="K117" s="43" t="s">
        <v>479</v>
      </c>
    </row>
    <row r="118" spans="1:11" x14ac:dyDescent="0.2">
      <c r="A118" s="14" t="s">
        <v>131</v>
      </c>
      <c r="B118" s="14" t="str">
        <f>Modeltabelle[[#This Row],[SAP Teile-bezeichnung]]</f>
        <v>DFS800-2000</v>
      </c>
      <c r="C118" s="14" t="s">
        <v>427</v>
      </c>
      <c r="D118" s="14" t="s">
        <v>59</v>
      </c>
      <c r="E118" s="17">
        <v>800</v>
      </c>
      <c r="F118" s="15"/>
      <c r="G118" s="19">
        <v>2100</v>
      </c>
      <c r="H118" s="42" t="s">
        <v>4</v>
      </c>
      <c r="I118" s="19">
        <v>1550</v>
      </c>
      <c r="J118" s="19">
        <f t="shared" si="14"/>
        <v>2415</v>
      </c>
      <c r="K118" s="43" t="e">
        <v>#N/A</v>
      </c>
    </row>
    <row r="119" spans="1:11" x14ac:dyDescent="0.2">
      <c r="A119" s="14" t="s">
        <v>132</v>
      </c>
      <c r="B119" s="14" t="str">
        <f>Modeltabelle[[#This Row],[SAP Teile-bezeichnung]]</f>
        <v>DFS800-4000</v>
      </c>
      <c r="C119" s="14" t="s">
        <v>428</v>
      </c>
      <c r="D119" s="14" t="s">
        <v>59</v>
      </c>
      <c r="E119" s="17">
        <v>800</v>
      </c>
      <c r="F119" s="15"/>
      <c r="G119" s="19">
        <v>2100</v>
      </c>
      <c r="H119" s="42" t="s">
        <v>4</v>
      </c>
      <c r="I119" s="19">
        <v>1550</v>
      </c>
      <c r="J119" s="19">
        <f t="shared" si="14"/>
        <v>2415</v>
      </c>
      <c r="K119" s="43" t="e">
        <v>#N/A</v>
      </c>
    </row>
    <row r="120" spans="1:11" x14ac:dyDescent="0.2">
      <c r="A120" s="14" t="s">
        <v>133</v>
      </c>
      <c r="B120" s="14" t="str">
        <f>Modeltabelle[[#This Row],[SAP Teile-bezeichnung]]</f>
        <v>DFS800-8000</v>
      </c>
      <c r="C120" s="14" t="s">
        <v>429</v>
      </c>
      <c r="D120" s="14" t="s">
        <v>59</v>
      </c>
      <c r="E120" s="17">
        <v>800</v>
      </c>
      <c r="F120" s="15"/>
      <c r="G120" s="19">
        <v>2100</v>
      </c>
      <c r="H120" s="42" t="s">
        <v>4</v>
      </c>
      <c r="I120" s="19">
        <v>1550</v>
      </c>
      <c r="J120" s="19">
        <f t="shared" si="14"/>
        <v>2415</v>
      </c>
      <c r="K120" s="43" t="e">
        <v>#N/A</v>
      </c>
    </row>
    <row r="121" spans="1:11" x14ac:dyDescent="0.2">
      <c r="A121" s="14" t="s">
        <v>134</v>
      </c>
      <c r="B121" s="14" t="str">
        <f>Modeltabelle[[#This Row],[SAP Teile-bezeichnung]]</f>
        <v>DFS800E00</v>
      </c>
      <c r="C121" s="14" t="s">
        <v>480</v>
      </c>
      <c r="D121" s="14" t="s">
        <v>59</v>
      </c>
      <c r="E121" s="17">
        <v>800</v>
      </c>
      <c r="F121" s="15"/>
      <c r="G121" s="19">
        <v>2100</v>
      </c>
      <c r="H121" s="42" t="s">
        <v>4</v>
      </c>
      <c r="I121" s="19">
        <v>1550</v>
      </c>
      <c r="J121" s="19">
        <f t="shared" si="14"/>
        <v>2415</v>
      </c>
      <c r="K121" s="43" t="s">
        <v>987</v>
      </c>
    </row>
    <row r="122" spans="1:11" x14ac:dyDescent="0.2">
      <c r="A122" s="14" t="s">
        <v>166</v>
      </c>
      <c r="B122" s="14" t="str">
        <f>Modeltabelle[[#This Row],[SAP Teile-bezeichnung]]</f>
        <v>DFW145</v>
      </c>
      <c r="C122" s="14" t="s">
        <v>430</v>
      </c>
      <c r="D122" s="14" t="s">
        <v>59</v>
      </c>
      <c r="E122" s="17">
        <v>145</v>
      </c>
      <c r="F122" s="15">
        <v>1250</v>
      </c>
      <c r="G122" s="19">
        <v>650</v>
      </c>
      <c r="H122" s="19"/>
      <c r="I122" s="19" t="s">
        <v>4</v>
      </c>
      <c r="J122" s="19">
        <f t="shared" si="14"/>
        <v>747.49999999999989</v>
      </c>
      <c r="K122" s="43" t="e">
        <v>#N/A</v>
      </c>
    </row>
    <row r="123" spans="1:11" x14ac:dyDescent="0.2">
      <c r="A123" s="14" t="s">
        <v>170</v>
      </c>
      <c r="B123" s="14" t="str">
        <f>Modeltabelle[[#This Row],[SAP Teile-bezeichnung]]</f>
        <v>DFW24</v>
      </c>
      <c r="C123" s="14" t="s">
        <v>431</v>
      </c>
      <c r="D123" s="14" t="s">
        <v>59</v>
      </c>
      <c r="E123" s="17">
        <v>24</v>
      </c>
      <c r="F123" s="15">
        <v>210</v>
      </c>
      <c r="G123" s="19">
        <v>125</v>
      </c>
      <c r="H123" s="19">
        <v>50</v>
      </c>
      <c r="I123" s="19" t="s">
        <v>4</v>
      </c>
      <c r="J123" s="19">
        <f t="shared" si="14"/>
        <v>143.75</v>
      </c>
      <c r="K123" s="43" t="e">
        <v>#N/A</v>
      </c>
    </row>
    <row r="124" spans="1:11" x14ac:dyDescent="0.2">
      <c r="A124" s="14" t="s">
        <v>89</v>
      </c>
      <c r="B124" s="14" t="str">
        <f>Modeltabelle[[#This Row],[SAP Teile-bezeichnung]]</f>
        <v>DFW300</v>
      </c>
      <c r="C124" s="14" t="s">
        <v>432</v>
      </c>
      <c r="D124" s="14" t="s">
        <v>59</v>
      </c>
      <c r="E124" s="17">
        <v>300</v>
      </c>
      <c r="F124" s="15">
        <v>1900</v>
      </c>
      <c r="G124" s="19">
        <v>1050</v>
      </c>
      <c r="H124" s="19">
        <v>460</v>
      </c>
      <c r="I124" s="19" t="s">
        <v>4</v>
      </c>
      <c r="J124" s="19">
        <f t="shared" si="14"/>
        <v>1207.5</v>
      </c>
      <c r="K124" s="43" t="e">
        <v>#N/A</v>
      </c>
    </row>
    <row r="125" spans="1:11" x14ac:dyDescent="0.2">
      <c r="A125" s="14" t="s">
        <v>168</v>
      </c>
      <c r="B125" s="14" t="str">
        <f>Modeltabelle[[#This Row],[SAP Teile-bezeichnung]]</f>
        <v>DFW420</v>
      </c>
      <c r="C125" s="14" t="s">
        <v>433</v>
      </c>
      <c r="D125" s="14" t="s">
        <v>59</v>
      </c>
      <c r="E125" s="17">
        <v>420</v>
      </c>
      <c r="F125" s="15"/>
      <c r="G125" s="19">
        <v>1425</v>
      </c>
      <c r="H125" s="19">
        <v>630</v>
      </c>
      <c r="I125" s="19">
        <v>1050</v>
      </c>
      <c r="J125" s="19">
        <f t="shared" si="14"/>
        <v>1638.7499999999998</v>
      </c>
      <c r="K125" s="43" t="e">
        <v>#N/A</v>
      </c>
    </row>
    <row r="126" spans="1:11" x14ac:dyDescent="0.2">
      <c r="A126" s="14" t="s">
        <v>58</v>
      </c>
      <c r="B126" s="14" t="str">
        <f>Modeltabelle[[#This Row],[SAP Teile-bezeichnung]]</f>
        <v>DFW52</v>
      </c>
      <c r="C126" s="14" t="s">
        <v>434</v>
      </c>
      <c r="D126" s="14" t="s">
        <v>59</v>
      </c>
      <c r="E126" s="17">
        <v>52</v>
      </c>
      <c r="F126" s="15"/>
      <c r="G126" s="19">
        <v>250</v>
      </c>
      <c r="H126" s="19"/>
      <c r="I126" s="19" t="s">
        <v>4</v>
      </c>
      <c r="J126" s="19">
        <f t="shared" si="14"/>
        <v>287.5</v>
      </c>
      <c r="K126" s="43" t="e">
        <v>#N/A</v>
      </c>
    </row>
    <row r="127" spans="1:11" x14ac:dyDescent="0.2">
      <c r="A127" s="14" t="s">
        <v>169</v>
      </c>
      <c r="B127" s="14" t="str">
        <f>Modeltabelle[[#This Row],[SAP Teile-bezeichnung]]</f>
        <v>DFW550</v>
      </c>
      <c r="C127" s="14" t="s">
        <v>435</v>
      </c>
      <c r="D127" s="14" t="s">
        <v>59</v>
      </c>
      <c r="E127" s="17">
        <v>550</v>
      </c>
      <c r="F127" s="15"/>
      <c r="G127" s="19">
        <v>1550</v>
      </c>
      <c r="H127" s="19"/>
      <c r="I127" s="19" t="s">
        <v>4</v>
      </c>
      <c r="J127" s="19">
        <f t="shared" si="14"/>
        <v>1782.4999999999998</v>
      </c>
      <c r="K127" s="43" t="e">
        <v>#N/A</v>
      </c>
    </row>
    <row r="128" spans="1:11" x14ac:dyDescent="0.2">
      <c r="A128" s="14" t="s">
        <v>171</v>
      </c>
      <c r="B128" s="14" t="str">
        <f>Modeltabelle[[#This Row],[SAP Teile-bezeichnung]]</f>
        <v>DPS550E00</v>
      </c>
      <c r="C128" s="14" t="s">
        <v>469</v>
      </c>
      <c r="D128" s="14" t="s">
        <v>59</v>
      </c>
      <c r="E128" s="17">
        <v>550</v>
      </c>
      <c r="F128" s="15"/>
      <c r="G128" s="19">
        <v>1550</v>
      </c>
      <c r="H128" s="19">
        <v>680</v>
      </c>
      <c r="I128" s="19">
        <v>1175</v>
      </c>
      <c r="J128" s="19">
        <f t="shared" si="14"/>
        <v>1782.4999999999998</v>
      </c>
      <c r="K128" s="43" t="s">
        <v>989</v>
      </c>
    </row>
    <row r="129" spans="1:11" x14ac:dyDescent="0.2">
      <c r="A129" s="14" t="s">
        <v>161</v>
      </c>
      <c r="B129" s="14" t="str">
        <f>Modeltabelle[[#This Row],[SAP Teile-bezeichnung]]</f>
        <v>GIF_Abnahme</v>
      </c>
      <c r="C129" s="14"/>
      <c r="D129" s="14" t="s">
        <v>148</v>
      </c>
      <c r="E129" s="17" t="s">
        <v>5</v>
      </c>
      <c r="F129" s="15"/>
      <c r="G129" s="43" t="s">
        <v>462</v>
      </c>
      <c r="H129" s="19"/>
      <c r="I129" s="19" t="s">
        <v>4</v>
      </c>
      <c r="J129" s="19" t="e">
        <f t="shared" si="14"/>
        <v>#VALUE!</v>
      </c>
      <c r="K129" s="43" t="e">
        <v>#N/A</v>
      </c>
    </row>
    <row r="130" spans="1:11" x14ac:dyDescent="0.2">
      <c r="A130" s="14" t="s">
        <v>147</v>
      </c>
      <c r="B130" s="14" t="str">
        <f>Modeltabelle[[#This Row],[SAP Teile-bezeichnung]]</f>
        <v>Grundrahmen</v>
      </c>
      <c r="C130" s="14"/>
      <c r="D130" s="14" t="s">
        <v>148</v>
      </c>
      <c r="E130" s="17" t="s">
        <v>5</v>
      </c>
      <c r="F130" s="15"/>
      <c r="G130" s="43" t="s">
        <v>462</v>
      </c>
      <c r="H130" s="19"/>
      <c r="I130" s="19" t="s">
        <v>4</v>
      </c>
      <c r="J130" s="19" t="e">
        <f t="shared" si="14"/>
        <v>#VALUE!</v>
      </c>
      <c r="K130" s="43" t="e">
        <v>#N/A</v>
      </c>
    </row>
    <row r="131" spans="1:11" x14ac:dyDescent="0.2">
      <c r="A131" s="14" t="s">
        <v>174</v>
      </c>
      <c r="B131" s="14" t="str">
        <f>Modeltabelle[[#This Row],[SAP Teile-bezeichnung]]</f>
        <v>MAT GIF</v>
      </c>
      <c r="C131" s="14"/>
      <c r="D131" s="14" t="s">
        <v>148</v>
      </c>
      <c r="E131" s="17" t="s">
        <v>5</v>
      </c>
      <c r="F131" s="15"/>
      <c r="G131" s="43" t="s">
        <v>462</v>
      </c>
      <c r="H131" s="19"/>
      <c r="I131" s="19" t="s">
        <v>4</v>
      </c>
      <c r="J131" s="19" t="e">
        <f t="shared" si="14"/>
        <v>#VALUE!</v>
      </c>
      <c r="K131" s="43" t="s">
        <v>174</v>
      </c>
    </row>
    <row r="132" spans="1:11" x14ac:dyDescent="0.2">
      <c r="A132" s="14" t="s">
        <v>150</v>
      </c>
      <c r="B132" s="14" t="str">
        <f>Modeltabelle[[#This Row],[SAP Teile-bezeichnung]]</f>
        <v>PRUEF1000</v>
      </c>
      <c r="C132" s="14" t="s">
        <v>455</v>
      </c>
      <c r="D132" s="14" t="s">
        <v>274</v>
      </c>
      <c r="E132" s="17">
        <v>1000</v>
      </c>
      <c r="F132" s="15"/>
      <c r="G132" s="19">
        <v>2100</v>
      </c>
      <c r="H132" s="19"/>
      <c r="I132" s="19" t="s">
        <v>4</v>
      </c>
      <c r="J132" s="19">
        <f t="shared" si="14"/>
        <v>2415</v>
      </c>
      <c r="K132" s="43" t="s">
        <v>971</v>
      </c>
    </row>
    <row r="133" spans="1:11" x14ac:dyDescent="0.2">
      <c r="A133" s="14" t="s">
        <v>151</v>
      </c>
      <c r="B133" s="14" t="str">
        <f>Modeltabelle[[#This Row],[SAP Teile-bezeichnung]]</f>
        <v>PRUEF300</v>
      </c>
      <c r="C133" s="14" t="s">
        <v>456</v>
      </c>
      <c r="D133" s="14" t="s">
        <v>274</v>
      </c>
      <c r="E133" s="17">
        <v>300</v>
      </c>
      <c r="F133" s="15">
        <v>1900</v>
      </c>
      <c r="G133" s="19">
        <v>1050</v>
      </c>
      <c r="H133" s="19">
        <v>460</v>
      </c>
      <c r="I133" s="19" t="s">
        <v>4</v>
      </c>
      <c r="J133" s="19">
        <f t="shared" si="14"/>
        <v>1207.5</v>
      </c>
      <c r="K133" s="43" t="s">
        <v>972</v>
      </c>
    </row>
    <row r="134" spans="1:11" x14ac:dyDescent="0.2">
      <c r="A134" s="14" t="s">
        <v>152</v>
      </c>
      <c r="B134" s="14" t="str">
        <f>Modeltabelle[[#This Row],[SAP Teile-bezeichnung]]</f>
        <v>PRUEF325</v>
      </c>
      <c r="C134" s="14" t="s">
        <v>457</v>
      </c>
      <c r="D134" s="14" t="s">
        <v>274</v>
      </c>
      <c r="E134" s="17">
        <v>325</v>
      </c>
      <c r="F134" s="15"/>
      <c r="G134" s="19">
        <v>950</v>
      </c>
      <c r="H134" s="19"/>
      <c r="I134" s="19" t="s">
        <v>4</v>
      </c>
      <c r="J134" s="19">
        <f t="shared" si="14"/>
        <v>1092.5</v>
      </c>
      <c r="K134" s="43" t="s">
        <v>973</v>
      </c>
    </row>
    <row r="135" spans="1:11" x14ac:dyDescent="0.2">
      <c r="A135" s="14" t="s">
        <v>153</v>
      </c>
      <c r="B135" s="14" t="str">
        <f>Modeltabelle[[#This Row],[SAP Teile-bezeichnung]]</f>
        <v>PRUEF640</v>
      </c>
      <c r="C135" s="14" t="s">
        <v>458</v>
      </c>
      <c r="D135" s="14" t="s">
        <v>274</v>
      </c>
      <c r="E135" s="17">
        <v>640</v>
      </c>
      <c r="F135" s="15"/>
      <c r="G135" s="19">
        <v>1550</v>
      </c>
      <c r="H135" s="19"/>
      <c r="I135" s="19" t="s">
        <v>4</v>
      </c>
      <c r="J135" s="19">
        <f t="shared" si="14"/>
        <v>1782.4999999999998</v>
      </c>
      <c r="K135" s="43" t="s">
        <v>974</v>
      </c>
    </row>
    <row r="136" spans="1:11" x14ac:dyDescent="0.2">
      <c r="A136" s="14" t="s">
        <v>154</v>
      </c>
      <c r="B136" s="14" t="str">
        <f>Modeltabelle[[#This Row],[SAP Teile-bezeichnung]]</f>
        <v>PRUEF740</v>
      </c>
      <c r="C136" s="14" t="s">
        <v>459</v>
      </c>
      <c r="D136" s="14" t="s">
        <v>274</v>
      </c>
      <c r="E136" s="17">
        <v>740</v>
      </c>
      <c r="F136" s="15"/>
      <c r="G136" s="19">
        <v>1550</v>
      </c>
      <c r="H136" s="19"/>
      <c r="I136" s="19" t="s">
        <v>4</v>
      </c>
      <c r="J136" s="19">
        <f t="shared" si="14"/>
        <v>1782.4999999999998</v>
      </c>
      <c r="K136" s="43" t="e">
        <v>#N/A</v>
      </c>
    </row>
    <row r="137" spans="1:11" x14ac:dyDescent="0.2">
      <c r="A137" s="14" t="s">
        <v>155</v>
      </c>
      <c r="B137" s="14" t="str">
        <f>Modeltabelle[[#This Row],[SAP Teile-bezeichnung]]</f>
        <v>PRUEF750</v>
      </c>
      <c r="C137" s="14" t="s">
        <v>460</v>
      </c>
      <c r="D137" s="14" t="s">
        <v>274</v>
      </c>
      <c r="E137" s="17">
        <v>750</v>
      </c>
      <c r="F137" s="15"/>
      <c r="G137" s="19">
        <v>1550</v>
      </c>
      <c r="H137" s="19"/>
      <c r="I137" s="19" t="s">
        <v>4</v>
      </c>
      <c r="J137" s="19">
        <f t="shared" si="14"/>
        <v>1782.4999999999998</v>
      </c>
      <c r="K137" s="43" t="s">
        <v>975</v>
      </c>
    </row>
    <row r="138" spans="1:11" x14ac:dyDescent="0.2">
      <c r="A138" s="14" t="s">
        <v>156</v>
      </c>
      <c r="B138" s="14" t="str">
        <f>Modeltabelle[[#This Row],[SAP Teile-bezeichnung]]</f>
        <v>PRÜF325</v>
      </c>
      <c r="C138" s="14" t="s">
        <v>156</v>
      </c>
      <c r="D138" s="14" t="s">
        <v>274</v>
      </c>
      <c r="E138" s="17">
        <v>325</v>
      </c>
      <c r="F138" s="15"/>
      <c r="G138" s="19">
        <v>950</v>
      </c>
      <c r="H138" s="19"/>
      <c r="I138" s="19" t="s">
        <v>4</v>
      </c>
      <c r="J138" s="19">
        <f t="shared" si="14"/>
        <v>1092.5</v>
      </c>
      <c r="K138" s="43" t="e">
        <v>#N/A</v>
      </c>
    </row>
    <row r="139" spans="1:11" x14ac:dyDescent="0.2">
      <c r="A139" s="14" t="s">
        <v>157</v>
      </c>
      <c r="B139" s="14" t="str">
        <f>Modeltabelle[[#This Row],[SAP Teile-bezeichnung]]</f>
        <v>Prüfanlage</v>
      </c>
      <c r="C139" s="14" t="s">
        <v>157</v>
      </c>
      <c r="D139" s="14" t="s">
        <v>274</v>
      </c>
      <c r="E139" s="17" t="s">
        <v>5</v>
      </c>
      <c r="F139" s="15"/>
      <c r="G139" s="43" t="s">
        <v>462</v>
      </c>
      <c r="H139" s="19"/>
      <c r="I139" s="19" t="s">
        <v>4</v>
      </c>
      <c r="J139" s="19" t="e">
        <f t="shared" si="14"/>
        <v>#VALUE!</v>
      </c>
      <c r="K139" s="43" t="e">
        <v>#N/A</v>
      </c>
    </row>
    <row r="140" spans="1:11" x14ac:dyDescent="0.2">
      <c r="A140" s="14" t="s">
        <v>158</v>
      </c>
      <c r="B140" s="14" t="str">
        <f>Modeltabelle[[#This Row],[SAP Teile-bezeichnung]]</f>
        <v>RP000001</v>
      </c>
      <c r="C140" s="14"/>
      <c r="D140" s="14" t="s">
        <v>148</v>
      </c>
      <c r="E140" s="17" t="s">
        <v>5</v>
      </c>
      <c r="F140" s="15"/>
      <c r="G140" s="43" t="s">
        <v>462</v>
      </c>
      <c r="H140" s="19"/>
      <c r="I140" s="19" t="s">
        <v>4</v>
      </c>
      <c r="J140" s="19" t="e">
        <f t="shared" si="14"/>
        <v>#VALUE!</v>
      </c>
      <c r="K140" s="43" t="s">
        <v>998</v>
      </c>
    </row>
    <row r="141" spans="1:11" x14ac:dyDescent="0.2">
      <c r="A141" s="14" t="s">
        <v>159</v>
      </c>
      <c r="B141" s="14" t="str">
        <f>Modeltabelle[[#This Row],[SAP Teile-bezeichnung]]</f>
        <v>RS 800</v>
      </c>
      <c r="C141" s="14"/>
      <c r="D141" s="14" t="s">
        <v>148</v>
      </c>
      <c r="E141" s="17" t="s">
        <v>5</v>
      </c>
      <c r="F141" s="15"/>
      <c r="G141" s="43" t="s">
        <v>462</v>
      </c>
      <c r="H141" s="19"/>
      <c r="I141" s="19" t="s">
        <v>4</v>
      </c>
      <c r="J141" s="19" t="e">
        <f t="shared" si="14"/>
        <v>#VALUE!</v>
      </c>
      <c r="K141" s="43" t="e">
        <v>#N/A</v>
      </c>
    </row>
    <row r="142" spans="1:11" x14ac:dyDescent="0.2">
      <c r="A142" s="14" t="s">
        <v>509</v>
      </c>
      <c r="B142" s="14" t="str">
        <f>Modeltabelle[[#This Row],[SAP Teile-bezeichnung]]</f>
        <v>SPR 245</v>
      </c>
      <c r="C142" s="14" t="s">
        <v>509</v>
      </c>
      <c r="D142" s="14" t="s">
        <v>111</v>
      </c>
      <c r="E142" s="17">
        <v>420</v>
      </c>
      <c r="F142" s="15"/>
      <c r="G142" s="19">
        <v>1425</v>
      </c>
      <c r="H142" s="19">
        <v>630</v>
      </c>
      <c r="I142" s="19">
        <v>1050</v>
      </c>
      <c r="J142" s="19">
        <f t="shared" si="14"/>
        <v>1638.7499999999998</v>
      </c>
      <c r="K142" s="43" t="e">
        <v>#N/A</v>
      </c>
    </row>
    <row r="143" spans="1:11" x14ac:dyDescent="0.2">
      <c r="A143" s="14" t="s">
        <v>1409</v>
      </c>
      <c r="B143" s="14" t="str">
        <f>Modeltabelle[[#This Row],[SAP Teile-bezeichnung]]</f>
        <v>SPR420-020-01</v>
      </c>
      <c r="C143" s="14" t="s">
        <v>492</v>
      </c>
      <c r="D143" s="14" t="s">
        <v>111</v>
      </c>
      <c r="E143" s="17">
        <v>420</v>
      </c>
      <c r="F143" s="15"/>
      <c r="G143" s="43">
        <v>1425</v>
      </c>
      <c r="H143" s="43">
        <v>630</v>
      </c>
      <c r="I143" s="43">
        <v>1050</v>
      </c>
      <c r="J143" s="43">
        <f>G143*1.15</f>
        <v>1638.7499999999998</v>
      </c>
      <c r="K143" s="43" t="e">
        <v>#N/A</v>
      </c>
    </row>
    <row r="144" spans="1:11" x14ac:dyDescent="0.2">
      <c r="A144" s="14" t="s">
        <v>818</v>
      </c>
      <c r="B144" s="14" t="str">
        <f>Modeltabelle[[#This Row],[SAP Teile-bezeichnung]]</f>
        <v>SPR420-010-02</v>
      </c>
      <c r="C144" s="14" t="s">
        <v>492</v>
      </c>
      <c r="D144" s="14" t="s">
        <v>111</v>
      </c>
      <c r="E144" s="17">
        <v>420</v>
      </c>
      <c r="F144" s="15"/>
      <c r="G144" s="19">
        <v>1425</v>
      </c>
      <c r="H144" s="19">
        <v>630</v>
      </c>
      <c r="I144" s="19">
        <v>1050</v>
      </c>
      <c r="J144" s="19">
        <f t="shared" si="14"/>
        <v>1638.7499999999998</v>
      </c>
      <c r="K144" s="43" t="s">
        <v>1036</v>
      </c>
    </row>
    <row r="145" spans="1:11" x14ac:dyDescent="0.2">
      <c r="A145" s="14" t="s">
        <v>110</v>
      </c>
      <c r="B145" s="14" t="str">
        <f>Modeltabelle[[#This Row],[SAP Teile-bezeichnung]]</f>
        <v>SPR420G01</v>
      </c>
      <c r="C145" s="14" t="s">
        <v>492</v>
      </c>
      <c r="D145" s="14" t="s">
        <v>111</v>
      </c>
      <c r="E145" s="17">
        <v>420</v>
      </c>
      <c r="F145" s="15"/>
      <c r="G145" s="19">
        <v>1425</v>
      </c>
      <c r="H145" s="19">
        <v>630</v>
      </c>
      <c r="I145" s="19">
        <v>1050</v>
      </c>
      <c r="J145" s="19">
        <f t="shared" si="14"/>
        <v>1638.7499999999998</v>
      </c>
      <c r="K145" s="43" t="s">
        <v>1036</v>
      </c>
    </row>
    <row r="146" spans="1:11" x14ac:dyDescent="0.2">
      <c r="A146" s="14" t="s">
        <v>872</v>
      </c>
      <c r="B146" s="14" t="str">
        <f>Modeltabelle[[#This Row],[SAP Teile-bezeichnung]]</f>
        <v>TAG072-T39</v>
      </c>
      <c r="C146" s="14" t="s">
        <v>931</v>
      </c>
      <c r="D146" s="14" t="s">
        <v>60</v>
      </c>
      <c r="E146" s="17">
        <v>72</v>
      </c>
      <c r="F146" s="15"/>
      <c r="G146" s="43"/>
      <c r="H146" s="43"/>
      <c r="I146" s="43"/>
      <c r="J146" s="43">
        <f t="shared" si="14"/>
        <v>0</v>
      </c>
      <c r="K146" s="43" t="s">
        <v>984</v>
      </c>
    </row>
    <row r="147" spans="1:11" x14ac:dyDescent="0.2">
      <c r="A147" s="14" t="s">
        <v>873</v>
      </c>
      <c r="B147" s="14" t="str">
        <f>Modeltabelle[[#This Row],[SAP Teile-bezeichnung]]</f>
        <v>TAG072-T40</v>
      </c>
      <c r="C147" s="14" t="s">
        <v>931</v>
      </c>
      <c r="D147" s="14" t="s">
        <v>60</v>
      </c>
      <c r="E147" s="17">
        <v>72</v>
      </c>
      <c r="F147" s="15"/>
      <c r="G147" s="43"/>
      <c r="H147" s="43"/>
      <c r="I147" s="43"/>
      <c r="J147" s="43">
        <f t="shared" si="14"/>
        <v>0</v>
      </c>
      <c r="K147" s="43" t="s">
        <v>985</v>
      </c>
    </row>
    <row r="148" spans="1:11" x14ac:dyDescent="0.2">
      <c r="A148" s="14" t="s">
        <v>874</v>
      </c>
      <c r="B148" s="14" t="str">
        <f>Modeltabelle[[#This Row],[SAP Teile-bezeichnung]]</f>
        <v>TAG072-T41</v>
      </c>
      <c r="C148" s="14" t="s">
        <v>931</v>
      </c>
      <c r="D148" s="14" t="s">
        <v>60</v>
      </c>
      <c r="E148" s="17">
        <v>72</v>
      </c>
      <c r="F148" s="15"/>
      <c r="G148" s="43"/>
      <c r="H148" s="43"/>
      <c r="I148" s="43"/>
      <c r="J148" s="43">
        <f t="shared" si="14"/>
        <v>0</v>
      </c>
      <c r="K148" s="43" t="s">
        <v>986</v>
      </c>
    </row>
    <row r="149" spans="1:11" x14ac:dyDescent="0.2">
      <c r="A149" s="14" t="s">
        <v>875</v>
      </c>
      <c r="B149" s="14" t="str">
        <f>Modeltabelle[[#This Row],[SAP Teile-bezeichnung]]</f>
        <v>TAG072-TXX</v>
      </c>
      <c r="C149" s="14" t="s">
        <v>931</v>
      </c>
      <c r="D149" s="14" t="s">
        <v>60</v>
      </c>
      <c r="E149" s="17">
        <v>72</v>
      </c>
      <c r="F149" s="15"/>
      <c r="G149" s="43"/>
      <c r="H149" s="43"/>
      <c r="I149" s="43"/>
      <c r="J149" s="43">
        <f t="shared" si="14"/>
        <v>0</v>
      </c>
      <c r="K149" s="43" t="s">
        <v>1092</v>
      </c>
    </row>
    <row r="150" spans="1:11" x14ac:dyDescent="0.2">
      <c r="A150" s="14" t="s">
        <v>876</v>
      </c>
      <c r="B150" s="14" t="str">
        <f>Modeltabelle[[#This Row],[SAP Teile-bezeichnung]]</f>
        <v>TAG145P010-0160</v>
      </c>
      <c r="C150" s="14" t="s">
        <v>932</v>
      </c>
      <c r="D150" s="14" t="s">
        <v>60</v>
      </c>
      <c r="E150" s="17">
        <v>145</v>
      </c>
      <c r="F150" s="15"/>
      <c r="G150" s="43"/>
      <c r="H150" s="43"/>
      <c r="I150" s="43"/>
      <c r="J150" s="43">
        <f t="shared" si="14"/>
        <v>0</v>
      </c>
      <c r="K150" s="43" t="s">
        <v>932</v>
      </c>
    </row>
    <row r="151" spans="1:11" x14ac:dyDescent="0.2">
      <c r="A151" s="14" t="s">
        <v>877</v>
      </c>
      <c r="B151" s="14" t="str">
        <f>Modeltabelle[[#This Row],[SAP Teile-bezeichnung]]</f>
        <v>TAG145-T35</v>
      </c>
      <c r="C151" s="14" t="s">
        <v>932</v>
      </c>
      <c r="D151" s="14" t="s">
        <v>60</v>
      </c>
      <c r="E151" s="17">
        <v>145</v>
      </c>
      <c r="F151" s="15"/>
      <c r="G151" s="43"/>
      <c r="H151" s="43"/>
      <c r="I151" s="43"/>
      <c r="J151" s="43">
        <f t="shared" si="14"/>
        <v>0</v>
      </c>
      <c r="K151" s="43" t="s">
        <v>977</v>
      </c>
    </row>
    <row r="152" spans="1:11" x14ac:dyDescent="0.2">
      <c r="A152" s="14" t="s">
        <v>878</v>
      </c>
      <c r="B152" s="14" t="str">
        <f>Modeltabelle[[#This Row],[SAP Teile-bezeichnung]]</f>
        <v>TAG145-T36</v>
      </c>
      <c r="C152" s="14" t="s">
        <v>932</v>
      </c>
      <c r="D152" s="14" t="s">
        <v>60</v>
      </c>
      <c r="E152" s="17">
        <v>145</v>
      </c>
      <c r="F152" s="15"/>
      <c r="G152" s="43"/>
      <c r="H152" s="43"/>
      <c r="I152" s="43"/>
      <c r="J152" s="43">
        <f t="shared" si="14"/>
        <v>0</v>
      </c>
      <c r="K152" s="43" t="s">
        <v>978</v>
      </c>
    </row>
    <row r="153" spans="1:11" x14ac:dyDescent="0.2">
      <c r="A153" s="327" t="s">
        <v>879</v>
      </c>
      <c r="B153" s="14" t="s">
        <v>878</v>
      </c>
      <c r="C153" s="14" t="s">
        <v>932</v>
      </c>
      <c r="D153" s="14" t="s">
        <v>60</v>
      </c>
      <c r="E153" s="17">
        <v>145</v>
      </c>
      <c r="F153" s="15"/>
      <c r="G153" s="43"/>
      <c r="H153" s="43"/>
      <c r="I153" s="43"/>
      <c r="J153" s="43">
        <f t="shared" si="14"/>
        <v>0</v>
      </c>
      <c r="K153" s="43" t="s">
        <v>978</v>
      </c>
    </row>
    <row r="154" spans="1:11" x14ac:dyDescent="0.2">
      <c r="A154" s="14" t="s">
        <v>880</v>
      </c>
      <c r="B154" s="14" t="str">
        <f>Modeltabelle[[#This Row],[SAP Teile-bezeichnung]]</f>
        <v>TAG145-TXX</v>
      </c>
      <c r="C154" s="14" t="s">
        <v>932</v>
      </c>
      <c r="D154" s="14" t="s">
        <v>60</v>
      </c>
      <c r="E154" s="17">
        <v>145</v>
      </c>
      <c r="F154" s="15"/>
      <c r="G154" s="43"/>
      <c r="H154" s="43"/>
      <c r="I154" s="43"/>
      <c r="J154" s="43">
        <f t="shared" si="14"/>
        <v>0</v>
      </c>
      <c r="K154" s="43" t="s">
        <v>932</v>
      </c>
    </row>
    <row r="155" spans="1:11" x14ac:dyDescent="0.2">
      <c r="A155" s="14" t="s">
        <v>881</v>
      </c>
      <c r="B155" s="14" t="str">
        <f>Modeltabelle[[#This Row],[SAP Teile-bezeichnung]]</f>
        <v>TAG170P020-0160</v>
      </c>
      <c r="C155" s="14" t="s">
        <v>933</v>
      </c>
      <c r="D155" s="14" t="s">
        <v>60</v>
      </c>
      <c r="E155" s="17">
        <v>170</v>
      </c>
      <c r="F155" s="15"/>
      <c r="G155" s="43"/>
      <c r="H155" s="43"/>
      <c r="I155" s="43"/>
      <c r="J155" s="43">
        <f t="shared" si="14"/>
        <v>0</v>
      </c>
      <c r="K155" s="43" t="s">
        <v>933</v>
      </c>
    </row>
    <row r="156" spans="1:11" x14ac:dyDescent="0.2">
      <c r="A156" s="14" t="s">
        <v>882</v>
      </c>
      <c r="B156" s="14" t="str">
        <f>Modeltabelle[[#This Row],[SAP Teile-bezeichnung]]</f>
        <v>TAG170-T37</v>
      </c>
      <c r="C156" s="14" t="s">
        <v>933</v>
      </c>
      <c r="D156" s="14" t="s">
        <v>60</v>
      </c>
      <c r="E156" s="17">
        <v>170</v>
      </c>
      <c r="F156" s="15"/>
      <c r="G156" s="43"/>
      <c r="H156" s="43"/>
      <c r="I156" s="43"/>
      <c r="J156" s="43">
        <f t="shared" si="14"/>
        <v>0</v>
      </c>
      <c r="K156" s="43" t="s">
        <v>979</v>
      </c>
    </row>
    <row r="157" spans="1:11" x14ac:dyDescent="0.2">
      <c r="A157" s="327" t="s">
        <v>883</v>
      </c>
      <c r="B157" s="14" t="s">
        <v>882</v>
      </c>
      <c r="C157" s="14" t="s">
        <v>933</v>
      </c>
      <c r="D157" s="14" t="s">
        <v>60</v>
      </c>
      <c r="E157" s="17">
        <v>170</v>
      </c>
      <c r="F157" s="15"/>
      <c r="G157" s="43"/>
      <c r="H157" s="43"/>
      <c r="I157" s="43"/>
      <c r="J157" s="43">
        <f t="shared" si="14"/>
        <v>0</v>
      </c>
      <c r="K157" s="43" t="s">
        <v>979</v>
      </c>
    </row>
    <row r="158" spans="1:11" x14ac:dyDescent="0.2">
      <c r="A158" s="14" t="s">
        <v>884</v>
      </c>
      <c r="B158" s="14" t="str">
        <f>Modeltabelle[[#This Row],[SAP Teile-bezeichnung]]</f>
        <v>TAG170-T38</v>
      </c>
      <c r="C158" s="14" t="s">
        <v>933</v>
      </c>
      <c r="D158" s="14" t="s">
        <v>60</v>
      </c>
      <c r="E158" s="17">
        <v>170</v>
      </c>
      <c r="F158" s="15"/>
      <c r="G158" s="43"/>
      <c r="H158" s="43"/>
      <c r="I158" s="43"/>
      <c r="J158" s="43">
        <f t="shared" si="14"/>
        <v>0</v>
      </c>
      <c r="K158" s="43" t="s">
        <v>980</v>
      </c>
    </row>
    <row r="159" spans="1:11" x14ac:dyDescent="0.2">
      <c r="A159" s="327" t="s">
        <v>885</v>
      </c>
      <c r="B159" s="14" t="s">
        <v>884</v>
      </c>
      <c r="C159" s="14" t="s">
        <v>933</v>
      </c>
      <c r="D159" s="14" t="s">
        <v>60</v>
      </c>
      <c r="E159" s="17">
        <v>170</v>
      </c>
      <c r="F159" s="15"/>
      <c r="G159" s="43"/>
      <c r="H159" s="43"/>
      <c r="I159" s="43"/>
      <c r="J159" s="43">
        <f t="shared" si="14"/>
        <v>0</v>
      </c>
      <c r="K159" s="43" t="s">
        <v>980</v>
      </c>
    </row>
    <row r="160" spans="1:11" x14ac:dyDescent="0.2">
      <c r="A160" s="327" t="s">
        <v>1590</v>
      </c>
      <c r="B160" s="14" t="s">
        <v>1590</v>
      </c>
      <c r="C160" s="14" t="s">
        <v>933</v>
      </c>
      <c r="D160" s="14" t="s">
        <v>60</v>
      </c>
      <c r="E160" s="17">
        <v>170</v>
      </c>
      <c r="F160" s="15"/>
      <c r="G160" s="43"/>
      <c r="H160" s="43"/>
      <c r="I160" s="43"/>
      <c r="J160" s="43">
        <f t="shared" ref="J160" si="15">G160*1.15</f>
        <v>0</v>
      </c>
      <c r="K160" s="43" t="s">
        <v>933</v>
      </c>
    </row>
    <row r="161" spans="1:11" x14ac:dyDescent="0.2">
      <c r="A161" s="14" t="s">
        <v>819</v>
      </c>
      <c r="B161" s="14" t="str">
        <f>Modeltabelle[[#This Row],[SAP Teile-bezeichnung]]</f>
        <v>TAG245-T33</v>
      </c>
      <c r="C161" s="14" t="s">
        <v>934</v>
      </c>
      <c r="D161" s="14" t="s">
        <v>60</v>
      </c>
      <c r="E161" s="17">
        <v>245</v>
      </c>
      <c r="F161" s="15"/>
      <c r="G161" s="43"/>
      <c r="H161" s="43"/>
      <c r="I161" s="43"/>
      <c r="J161" s="43">
        <f t="shared" si="14"/>
        <v>0</v>
      </c>
      <c r="K161" s="43" t="s">
        <v>981</v>
      </c>
    </row>
    <row r="162" spans="1:11" x14ac:dyDescent="0.2">
      <c r="A162" s="14" t="s">
        <v>1591</v>
      </c>
      <c r="B162" s="14" t="str">
        <f>Modeltabelle[[#This Row],[SAP Teile-bezeichnung]]</f>
        <v>TAG245-TXX</v>
      </c>
      <c r="C162" s="14" t="s">
        <v>934</v>
      </c>
      <c r="D162" s="14" t="s">
        <v>60</v>
      </c>
      <c r="E162" s="17">
        <v>245</v>
      </c>
      <c r="F162" s="15"/>
      <c r="G162" s="43"/>
      <c r="H162" s="43"/>
      <c r="I162" s="43"/>
      <c r="J162" s="43">
        <f t="shared" ref="J162" si="16">G162*1.15</f>
        <v>0</v>
      </c>
      <c r="K162" s="43" t="s">
        <v>934</v>
      </c>
    </row>
    <row r="163" spans="1:11" x14ac:dyDescent="0.2">
      <c r="A163" s="14" t="s">
        <v>820</v>
      </c>
      <c r="B163" s="14" t="str">
        <f>Modeltabelle[[#This Row],[SAP Teile-bezeichnung]]</f>
        <v>TAG420-T31</v>
      </c>
      <c r="C163" s="14" t="s">
        <v>935</v>
      </c>
      <c r="D163" s="14" t="s">
        <v>60</v>
      </c>
      <c r="E163" s="17">
        <v>420</v>
      </c>
      <c r="F163" s="15"/>
      <c r="G163" s="43"/>
      <c r="H163" s="43"/>
      <c r="I163" s="43"/>
      <c r="J163" s="43">
        <f t="shared" si="14"/>
        <v>0</v>
      </c>
      <c r="K163" s="43" t="s">
        <v>982</v>
      </c>
    </row>
    <row r="164" spans="1:11" x14ac:dyDescent="0.2">
      <c r="A164" s="327" t="s">
        <v>821</v>
      </c>
      <c r="B164" s="14" t="s">
        <v>820</v>
      </c>
      <c r="C164" s="14" t="s">
        <v>935</v>
      </c>
      <c r="D164" s="14" t="s">
        <v>60</v>
      </c>
      <c r="E164" s="17">
        <v>420</v>
      </c>
      <c r="F164" s="15"/>
      <c r="G164" s="43"/>
      <c r="H164" s="43"/>
      <c r="I164" s="43"/>
      <c r="J164" s="43">
        <f t="shared" ref="J164:J224" si="17">G164*1.15</f>
        <v>0</v>
      </c>
      <c r="K164" s="43" t="s">
        <v>982</v>
      </c>
    </row>
    <row r="165" spans="1:11" x14ac:dyDescent="0.2">
      <c r="A165" s="14" t="s">
        <v>822</v>
      </c>
      <c r="B165" s="14" t="str">
        <f>Modeltabelle[[#This Row],[SAP Teile-bezeichnung]]</f>
        <v>TAG420-T32</v>
      </c>
      <c r="C165" s="14" t="s">
        <v>935</v>
      </c>
      <c r="D165" s="14" t="s">
        <v>60</v>
      </c>
      <c r="E165" s="17">
        <v>420</v>
      </c>
      <c r="F165" s="15"/>
      <c r="G165" s="43"/>
      <c r="H165" s="43"/>
      <c r="I165" s="43"/>
      <c r="J165" s="43">
        <f t="shared" si="17"/>
        <v>0</v>
      </c>
      <c r="K165" s="43" t="s">
        <v>983</v>
      </c>
    </row>
    <row r="166" spans="1:11" x14ac:dyDescent="0.2">
      <c r="A166" s="14" t="s">
        <v>823</v>
      </c>
      <c r="B166" s="14" t="str">
        <f>Modeltabelle[[#This Row],[SAP Teile-bezeichnung]]</f>
        <v>TAG420-TXX</v>
      </c>
      <c r="C166" s="14" t="s">
        <v>935</v>
      </c>
      <c r="D166" s="14" t="s">
        <v>60</v>
      </c>
      <c r="E166" s="17">
        <v>420</v>
      </c>
      <c r="F166" s="15"/>
      <c r="G166" s="43"/>
      <c r="H166" s="43"/>
      <c r="I166" s="43"/>
      <c r="J166" s="43">
        <f t="shared" si="17"/>
        <v>0</v>
      </c>
      <c r="K166" s="43" t="s">
        <v>935</v>
      </c>
    </row>
    <row r="167" spans="1:11" x14ac:dyDescent="0.2">
      <c r="A167" s="14" t="s">
        <v>160</v>
      </c>
      <c r="B167" s="14" t="str">
        <f>Modeltabelle[[#This Row],[SAP Teile-bezeichnung]]</f>
        <v>TT 300/10M</v>
      </c>
      <c r="C167" s="14"/>
      <c r="D167" s="14" t="s">
        <v>148</v>
      </c>
      <c r="E167" s="17" t="s">
        <v>5</v>
      </c>
      <c r="F167" s="15">
        <v>1900</v>
      </c>
      <c r="G167" s="19">
        <v>1050</v>
      </c>
      <c r="H167" s="19">
        <v>460</v>
      </c>
      <c r="I167" s="19" t="s">
        <v>4</v>
      </c>
      <c r="J167" s="19">
        <f t="shared" si="17"/>
        <v>1207.5</v>
      </c>
      <c r="K167" s="43" t="e">
        <v>#N/A</v>
      </c>
    </row>
    <row r="168" spans="1:11" x14ac:dyDescent="0.2">
      <c r="A168" s="14" t="s">
        <v>1433</v>
      </c>
      <c r="B168" s="14" t="str">
        <f>Modeltabelle[[#This Row],[SAP Teile-bezeichnung]]</f>
        <v>TVG072-010-050</v>
      </c>
      <c r="C168" s="14" t="s">
        <v>1437</v>
      </c>
      <c r="D168" s="14" t="s">
        <v>68</v>
      </c>
      <c r="E168" s="17" t="s">
        <v>1439</v>
      </c>
      <c r="F168" s="15"/>
      <c r="G168" s="43"/>
      <c r="H168" s="43"/>
      <c r="I168" s="43"/>
      <c r="J168" s="43">
        <f t="shared" ref="J168:J171" si="18">G168*1.15</f>
        <v>0</v>
      </c>
      <c r="K168" s="43" t="s">
        <v>1437</v>
      </c>
    </row>
    <row r="169" spans="1:11" x14ac:dyDescent="0.2">
      <c r="A169" s="14" t="s">
        <v>1431</v>
      </c>
      <c r="B169" s="14" t="str">
        <f>Modeltabelle[[#This Row],[SAP Teile-bezeichnung]]</f>
        <v>TVG145-010-050</v>
      </c>
      <c r="C169" s="14" t="s">
        <v>1438</v>
      </c>
      <c r="D169" s="14" t="s">
        <v>68</v>
      </c>
      <c r="E169" s="17" t="s">
        <v>1440</v>
      </c>
      <c r="F169" s="15"/>
      <c r="G169" s="43"/>
      <c r="H169" s="43"/>
      <c r="I169" s="43"/>
      <c r="J169" s="43">
        <f t="shared" si="18"/>
        <v>0</v>
      </c>
      <c r="K169" s="43" t="s">
        <v>1438</v>
      </c>
    </row>
    <row r="170" spans="1:11" x14ac:dyDescent="0.2">
      <c r="A170" s="14" t="s">
        <v>886</v>
      </c>
      <c r="B170" s="14" t="str">
        <f>Modeltabelle[[#This Row],[SAP Teile-bezeichnung]]</f>
        <v>TVG170-ACEA-01</v>
      </c>
      <c r="C170" s="14" t="s">
        <v>936</v>
      </c>
      <c r="D170" s="14" t="s">
        <v>68</v>
      </c>
      <c r="E170" s="17">
        <v>170</v>
      </c>
      <c r="F170" s="15"/>
      <c r="G170" s="43"/>
      <c r="H170" s="43"/>
      <c r="I170" s="43"/>
      <c r="J170" s="43">
        <f t="shared" si="18"/>
        <v>0</v>
      </c>
      <c r="K170" s="43" t="s">
        <v>936</v>
      </c>
    </row>
    <row r="171" spans="1:11" x14ac:dyDescent="0.2">
      <c r="A171" s="14" t="s">
        <v>887</v>
      </c>
      <c r="B171" s="14" t="str">
        <f>Modeltabelle[[#This Row],[SAP Teile-bezeichnung]]</f>
        <v>TVG170-ACEA-XX</v>
      </c>
      <c r="C171" s="14" t="s">
        <v>936</v>
      </c>
      <c r="D171" s="14" t="s">
        <v>68</v>
      </c>
      <c r="E171" s="17">
        <v>170</v>
      </c>
      <c r="F171" s="15"/>
      <c r="G171" s="43"/>
      <c r="H171" s="43"/>
      <c r="I171" s="43"/>
      <c r="J171" s="43">
        <f t="shared" si="18"/>
        <v>0</v>
      </c>
      <c r="K171" s="43" t="s">
        <v>936</v>
      </c>
    </row>
    <row r="172" spans="1:11" x14ac:dyDescent="0.2">
      <c r="A172" s="14" t="s">
        <v>1434</v>
      </c>
      <c r="B172" s="14" t="str">
        <f>Modeltabelle[[#This Row],[SAP Teile-bezeichnung]]</f>
        <v>TVG170P010-050</v>
      </c>
      <c r="C172" s="14" t="s">
        <v>936</v>
      </c>
      <c r="D172" s="14" t="s">
        <v>68</v>
      </c>
      <c r="E172" s="17">
        <v>170</v>
      </c>
      <c r="F172" s="15"/>
      <c r="G172" s="43"/>
      <c r="H172" s="43"/>
      <c r="I172" s="43"/>
      <c r="J172" s="43">
        <f t="shared" ref="J172:J173" si="19">G172*1.15</f>
        <v>0</v>
      </c>
      <c r="K172" s="43" t="s">
        <v>936</v>
      </c>
    </row>
    <row r="173" spans="1:11" x14ac:dyDescent="0.2">
      <c r="A173" s="14" t="s">
        <v>1435</v>
      </c>
      <c r="B173" s="14" t="str">
        <f>Modeltabelle[[#This Row],[SAP Teile-bezeichnung]]</f>
        <v>TVG170P020-100</v>
      </c>
      <c r="C173" s="14" t="s">
        <v>936</v>
      </c>
      <c r="D173" s="14" t="s">
        <v>68</v>
      </c>
      <c r="E173" s="17">
        <v>170</v>
      </c>
      <c r="F173" s="15"/>
      <c r="G173" s="43"/>
      <c r="H173" s="43"/>
      <c r="I173" s="43"/>
      <c r="J173" s="43">
        <f t="shared" si="19"/>
        <v>0</v>
      </c>
      <c r="K173" s="43" t="s">
        <v>936</v>
      </c>
    </row>
    <row r="174" spans="1:11" x14ac:dyDescent="0.2">
      <c r="A174" s="14" t="s">
        <v>824</v>
      </c>
      <c r="B174" s="14" t="str">
        <f>Modeltabelle[[#This Row],[SAP Teile-bezeichnung]]</f>
        <v>TVG245-ACEA-01</v>
      </c>
      <c r="C174" s="14" t="s">
        <v>937</v>
      </c>
      <c r="D174" s="14" t="s">
        <v>68</v>
      </c>
      <c r="E174" s="17">
        <v>245</v>
      </c>
      <c r="F174" s="15"/>
      <c r="G174" s="43"/>
      <c r="H174" s="43"/>
      <c r="I174" s="43"/>
      <c r="J174" s="43">
        <f t="shared" ref="J174" si="20">G174*1.15</f>
        <v>0</v>
      </c>
      <c r="K174" s="43" t="s">
        <v>937</v>
      </c>
    </row>
    <row r="175" spans="1:11" x14ac:dyDescent="0.2">
      <c r="A175" s="14" t="s">
        <v>1432</v>
      </c>
      <c r="B175" s="14" t="str">
        <f>Modeltabelle[[#This Row],[SAP Teile-bezeichnung]]</f>
        <v>TVG245-ACEA-XX</v>
      </c>
      <c r="C175" s="14" t="s">
        <v>937</v>
      </c>
      <c r="D175" s="14" t="s">
        <v>68</v>
      </c>
      <c r="E175" s="17">
        <v>245</v>
      </c>
      <c r="F175" s="15"/>
      <c r="G175" s="43"/>
      <c r="H175" s="43"/>
      <c r="I175" s="43"/>
      <c r="J175" s="43">
        <f t="shared" ref="J175:J176" si="21">G175*1.15</f>
        <v>0</v>
      </c>
      <c r="K175" s="43" t="s">
        <v>937</v>
      </c>
    </row>
    <row r="176" spans="1:11" x14ac:dyDescent="0.2">
      <c r="A176" s="14" t="s">
        <v>1436</v>
      </c>
      <c r="B176" s="14" t="str">
        <f>Modeltabelle[[#This Row],[SAP Teile-bezeichnung]]</f>
        <v>TVG245P020-100</v>
      </c>
      <c r="C176" s="14" t="s">
        <v>937</v>
      </c>
      <c r="D176" s="14" t="s">
        <v>68</v>
      </c>
      <c r="E176" s="17">
        <v>245</v>
      </c>
      <c r="F176" s="15"/>
      <c r="G176" s="43"/>
      <c r="H176" s="43"/>
      <c r="I176" s="43"/>
      <c r="J176" s="43">
        <f t="shared" si="21"/>
        <v>0</v>
      </c>
      <c r="K176" s="43" t="s">
        <v>937</v>
      </c>
    </row>
    <row r="177" spans="1:11" x14ac:dyDescent="0.2">
      <c r="A177" s="327" t="s">
        <v>888</v>
      </c>
      <c r="B177" s="14" t="s">
        <v>889</v>
      </c>
      <c r="C177" s="14" t="s">
        <v>938</v>
      </c>
      <c r="D177" s="14" t="s">
        <v>66</v>
      </c>
      <c r="E177" s="17">
        <v>72</v>
      </c>
      <c r="F177" s="15"/>
      <c r="G177" s="43"/>
      <c r="H177" s="43"/>
      <c r="I177" s="43"/>
      <c r="J177" s="43">
        <f t="shared" si="17"/>
        <v>0</v>
      </c>
      <c r="K177" s="43" t="s">
        <v>1040</v>
      </c>
    </row>
    <row r="178" spans="1:11" x14ac:dyDescent="0.2">
      <c r="A178" s="14" t="s">
        <v>889</v>
      </c>
      <c r="B178" s="14" t="str">
        <f>Modeltabelle[[#This Row],[SAP Teile-bezeichnung]]</f>
        <v>VCA072G05-1</v>
      </c>
      <c r="C178" s="14" t="s">
        <v>938</v>
      </c>
      <c r="D178" s="14" t="s">
        <v>66</v>
      </c>
      <c r="E178" s="17">
        <v>72</v>
      </c>
      <c r="F178" s="15"/>
      <c r="G178" s="43"/>
      <c r="H178" s="43"/>
      <c r="I178" s="43"/>
      <c r="J178" s="43">
        <f t="shared" si="17"/>
        <v>0</v>
      </c>
      <c r="K178" s="43" t="s">
        <v>1039</v>
      </c>
    </row>
    <row r="179" spans="1:11" x14ac:dyDescent="0.2">
      <c r="A179" s="251" t="s">
        <v>1444</v>
      </c>
      <c r="B179" s="14" t="str">
        <f>Modeltabelle[[#This Row],[SAP Teile-bezeichnung]]</f>
        <v>VCA123-022-0250</v>
      </c>
      <c r="C179" s="14" t="s">
        <v>939</v>
      </c>
      <c r="D179" s="14" t="s">
        <v>66</v>
      </c>
      <c r="E179" s="17">
        <v>123</v>
      </c>
      <c r="F179" s="15">
        <v>1250</v>
      </c>
      <c r="G179" s="43">
        <v>550</v>
      </c>
      <c r="H179" s="43">
        <v>230</v>
      </c>
      <c r="I179" s="43"/>
      <c r="J179" s="43">
        <f t="shared" ref="J179:J182" si="22">G179*1.15</f>
        <v>632.5</v>
      </c>
      <c r="K179" s="43" t="s">
        <v>939</v>
      </c>
    </row>
    <row r="180" spans="1:11" x14ac:dyDescent="0.2">
      <c r="A180" s="14" t="s">
        <v>890</v>
      </c>
      <c r="B180" s="14" t="str">
        <f>Modeltabelle[[#This Row],[SAP Teile-bezeichnung]]</f>
        <v>VCA123-040-0390</v>
      </c>
      <c r="C180" s="14" t="s">
        <v>939</v>
      </c>
      <c r="D180" s="14" t="s">
        <v>66</v>
      </c>
      <c r="E180" s="17">
        <v>123</v>
      </c>
      <c r="F180" s="15">
        <v>1250</v>
      </c>
      <c r="G180" s="43">
        <v>550</v>
      </c>
      <c r="H180" s="43">
        <v>230</v>
      </c>
      <c r="I180" s="43"/>
      <c r="J180" s="43">
        <f t="shared" ref="J180" si="23">G180*1.15</f>
        <v>632.5</v>
      </c>
      <c r="K180" s="43" t="s">
        <v>939</v>
      </c>
    </row>
    <row r="181" spans="1:11" x14ac:dyDescent="0.2">
      <c r="A181" s="251" t="s">
        <v>1443</v>
      </c>
      <c r="B181" s="14" t="str">
        <f>Modeltabelle[[#This Row],[SAP Teile-bezeichnung]]</f>
        <v>VCA145-022-0250</v>
      </c>
      <c r="C181" s="14" t="s">
        <v>940</v>
      </c>
      <c r="D181" s="14" t="s">
        <v>66</v>
      </c>
      <c r="E181" s="17">
        <v>145</v>
      </c>
      <c r="F181" s="15">
        <v>1525</v>
      </c>
      <c r="G181" s="43">
        <v>650</v>
      </c>
      <c r="H181" s="43">
        <v>275</v>
      </c>
      <c r="I181" s="43"/>
      <c r="J181" s="43"/>
      <c r="K181" s="43" t="s">
        <v>940</v>
      </c>
    </row>
    <row r="182" spans="1:11" x14ac:dyDescent="0.2">
      <c r="A182" s="251" t="s">
        <v>1445</v>
      </c>
      <c r="B182" s="14" t="str">
        <f>Modeltabelle[[#This Row],[SAP Teile-bezeichnung]]</f>
        <v>VCA145-022-0185</v>
      </c>
      <c r="C182" s="14" t="s">
        <v>940</v>
      </c>
      <c r="D182" s="14" t="s">
        <v>66</v>
      </c>
      <c r="E182" s="17">
        <v>145</v>
      </c>
      <c r="F182" s="15">
        <v>1800</v>
      </c>
      <c r="G182" s="43">
        <v>650</v>
      </c>
      <c r="H182" s="43">
        <v>275</v>
      </c>
      <c r="I182" s="43"/>
      <c r="J182" s="43">
        <f t="shared" si="22"/>
        <v>747.49999999999989</v>
      </c>
      <c r="K182" s="43" t="s">
        <v>940</v>
      </c>
    </row>
    <row r="183" spans="1:11" x14ac:dyDescent="0.2">
      <c r="A183" s="14" t="s">
        <v>891</v>
      </c>
      <c r="B183" s="14" t="str">
        <f>Modeltabelle[[#This Row],[SAP Teile-bezeichnung]]</f>
        <v>VCA145-040-0390</v>
      </c>
      <c r="C183" s="14" t="s">
        <v>940</v>
      </c>
      <c r="D183" s="14" t="s">
        <v>66</v>
      </c>
      <c r="E183" s="17">
        <v>145</v>
      </c>
      <c r="F183" s="15"/>
      <c r="G183" s="43">
        <v>650</v>
      </c>
      <c r="H183" s="43">
        <v>275</v>
      </c>
      <c r="I183" s="43"/>
      <c r="J183" s="43"/>
      <c r="K183" s="43" t="s">
        <v>940</v>
      </c>
    </row>
    <row r="184" spans="1:11" x14ac:dyDescent="0.2">
      <c r="A184" s="251" t="s">
        <v>1449</v>
      </c>
      <c r="B184" s="14" t="str">
        <f>Modeltabelle[[#This Row],[SAP Teile-bezeichnung]]</f>
        <v>VCA170-022-0185</v>
      </c>
      <c r="C184" s="14" t="s">
        <v>941</v>
      </c>
      <c r="D184" s="14" t="s">
        <v>66</v>
      </c>
      <c r="E184" s="17" t="s">
        <v>1453</v>
      </c>
      <c r="F184" s="15">
        <v>1800</v>
      </c>
      <c r="G184" s="43">
        <v>750</v>
      </c>
      <c r="H184" s="43">
        <v>325</v>
      </c>
      <c r="I184" s="43"/>
      <c r="J184" s="43"/>
      <c r="K184" s="43" t="s">
        <v>941</v>
      </c>
    </row>
    <row r="185" spans="1:11" x14ac:dyDescent="0.2">
      <c r="A185" s="251" t="s">
        <v>1606</v>
      </c>
      <c r="B185" s="14" t="str">
        <f>Modeltabelle[[#This Row],[SAP Teile-bezeichnung]]</f>
        <v>VCA170-041-0520</v>
      </c>
      <c r="C185" s="14" t="s">
        <v>941</v>
      </c>
      <c r="D185" s="14" t="s">
        <v>66</v>
      </c>
      <c r="E185" s="17" t="s">
        <v>1453</v>
      </c>
      <c r="F185" s="15">
        <v>1800</v>
      </c>
      <c r="G185" s="43">
        <v>750</v>
      </c>
      <c r="H185" s="43">
        <v>325</v>
      </c>
      <c r="I185" s="43"/>
      <c r="J185" s="43"/>
      <c r="K185" s="43" t="s">
        <v>941</v>
      </c>
    </row>
    <row r="186" spans="1:11" x14ac:dyDescent="0.2">
      <c r="A186" s="251" t="s">
        <v>1446</v>
      </c>
      <c r="B186" s="14" t="str">
        <f>Modeltabelle[[#This Row],[SAP Teile-bezeichnung]]</f>
        <v>VCA245-041-0520</v>
      </c>
      <c r="C186" s="14" t="s">
        <v>1450</v>
      </c>
      <c r="D186" s="14" t="s">
        <v>66</v>
      </c>
      <c r="E186" s="17" t="s">
        <v>1454</v>
      </c>
      <c r="F186" s="15">
        <v>2400</v>
      </c>
      <c r="G186" s="43">
        <v>1050</v>
      </c>
      <c r="H186" s="43">
        <v>460</v>
      </c>
      <c r="I186" s="43"/>
      <c r="J186" s="43">
        <f t="shared" ref="J186:J188" si="24">G186*1.15</f>
        <v>1207.5</v>
      </c>
      <c r="K186" s="43" t="s">
        <v>1450</v>
      </c>
    </row>
    <row r="187" spans="1:11" x14ac:dyDescent="0.2">
      <c r="A187" s="251" t="s">
        <v>1447</v>
      </c>
      <c r="B187" s="14" t="str">
        <f>Modeltabelle[[#This Row],[SAP Teile-bezeichnung]]</f>
        <v>VCA362G05</v>
      </c>
      <c r="C187" s="14" t="s">
        <v>1451</v>
      </c>
      <c r="D187" s="14" t="s">
        <v>66</v>
      </c>
      <c r="E187" s="17" t="s">
        <v>1455</v>
      </c>
      <c r="F187" s="15"/>
      <c r="G187" s="43"/>
      <c r="H187" s="43"/>
      <c r="I187" s="43"/>
      <c r="J187" s="43">
        <f t="shared" si="24"/>
        <v>0</v>
      </c>
      <c r="K187" s="43" t="s">
        <v>1451</v>
      </c>
    </row>
    <row r="188" spans="1:11" x14ac:dyDescent="0.2">
      <c r="A188" s="251" t="s">
        <v>1448</v>
      </c>
      <c r="B188" s="14" t="str">
        <f>Modeltabelle[[#This Row],[SAP Teile-bezeichnung]]</f>
        <v>VCA420G05</v>
      </c>
      <c r="C188" s="14" t="s">
        <v>1452</v>
      </c>
      <c r="D188" s="14" t="s">
        <v>66</v>
      </c>
      <c r="E188" s="17" t="s">
        <v>1456</v>
      </c>
      <c r="F188" s="15"/>
      <c r="G188" s="43"/>
      <c r="H188" s="43"/>
      <c r="I188" s="43"/>
      <c r="J188" s="43">
        <f t="shared" si="24"/>
        <v>0</v>
      </c>
      <c r="K188" s="43" t="s">
        <v>1452</v>
      </c>
    </row>
    <row r="189" spans="1:11" x14ac:dyDescent="0.2">
      <c r="A189" s="327" t="s">
        <v>892</v>
      </c>
      <c r="B189" s="14" t="s">
        <v>1350</v>
      </c>
      <c r="C189" s="14" t="s">
        <v>941</v>
      </c>
      <c r="D189" s="14" t="s">
        <v>66</v>
      </c>
      <c r="E189" s="17">
        <v>72</v>
      </c>
      <c r="F189" s="15"/>
      <c r="G189" s="43"/>
      <c r="H189" s="43"/>
      <c r="I189" s="43"/>
      <c r="J189" s="43">
        <f t="shared" si="17"/>
        <v>0</v>
      </c>
      <c r="K189" s="43" t="s">
        <v>1058</v>
      </c>
    </row>
    <row r="190" spans="1:11" x14ac:dyDescent="0.2">
      <c r="A190" s="14" t="s">
        <v>893</v>
      </c>
      <c r="B190" s="14" t="str">
        <f>Modeltabelle[[#This Row],[SAP Teile-bezeichnung]]</f>
        <v>VCG072G05-001-LAG</v>
      </c>
      <c r="C190" s="14" t="s">
        <v>938</v>
      </c>
      <c r="D190" s="14" t="s">
        <v>66</v>
      </c>
      <c r="E190" s="17">
        <v>72</v>
      </c>
      <c r="F190" s="15"/>
      <c r="G190" s="43"/>
      <c r="H190" s="43"/>
      <c r="I190" s="43"/>
      <c r="J190" s="43">
        <f t="shared" si="17"/>
        <v>0</v>
      </c>
      <c r="K190" s="43" t="s">
        <v>1058</v>
      </c>
    </row>
    <row r="191" spans="1:11" x14ac:dyDescent="0.2">
      <c r="A191" s="14" t="s">
        <v>67</v>
      </c>
      <c r="B191" s="14" t="str">
        <f>Modeltabelle[[#This Row],[SAP Teile-bezeichnung]]</f>
        <v>VCG123G04</v>
      </c>
      <c r="C191" s="14" t="s">
        <v>493</v>
      </c>
      <c r="D191" s="14" t="s">
        <v>66</v>
      </c>
      <c r="E191" s="17">
        <v>123</v>
      </c>
      <c r="F191" s="15">
        <v>1100</v>
      </c>
      <c r="G191" s="19">
        <v>550</v>
      </c>
      <c r="H191" s="19">
        <v>230</v>
      </c>
      <c r="I191" s="19" t="s">
        <v>4</v>
      </c>
      <c r="J191" s="19">
        <f t="shared" si="17"/>
        <v>632.5</v>
      </c>
      <c r="K191" s="43" t="s">
        <v>358</v>
      </c>
    </row>
    <row r="192" spans="1:11" x14ac:dyDescent="0.2">
      <c r="A192" s="327" t="s">
        <v>894</v>
      </c>
      <c r="B192" s="14" t="s">
        <v>67</v>
      </c>
      <c r="C192" s="14" t="s">
        <v>493</v>
      </c>
      <c r="D192" s="14" t="s">
        <v>66</v>
      </c>
      <c r="E192" s="17">
        <v>123</v>
      </c>
      <c r="F192" s="15">
        <v>1100</v>
      </c>
      <c r="G192" s="19">
        <v>550</v>
      </c>
      <c r="H192" s="19">
        <v>230</v>
      </c>
      <c r="I192" s="19" t="s">
        <v>4</v>
      </c>
      <c r="J192" s="19">
        <f t="shared" si="17"/>
        <v>632.5</v>
      </c>
      <c r="K192" s="43" t="s">
        <v>1042</v>
      </c>
    </row>
    <row r="193" spans="1:11" x14ac:dyDescent="0.2">
      <c r="A193" s="327" t="s">
        <v>895</v>
      </c>
      <c r="B193" s="14" t="s">
        <v>31</v>
      </c>
      <c r="C193" s="14" t="s">
        <v>493</v>
      </c>
      <c r="D193" s="14" t="s">
        <v>66</v>
      </c>
      <c r="E193" s="17">
        <v>123</v>
      </c>
      <c r="F193" s="15"/>
      <c r="G193" s="43"/>
      <c r="H193" s="43"/>
      <c r="I193" s="43"/>
      <c r="J193" s="43">
        <f t="shared" si="17"/>
        <v>0</v>
      </c>
      <c r="K193" s="43" t="s">
        <v>1044</v>
      </c>
    </row>
    <row r="194" spans="1:11" x14ac:dyDescent="0.2">
      <c r="A194" s="327" t="s">
        <v>896</v>
      </c>
      <c r="B194" s="14" t="s">
        <v>31</v>
      </c>
      <c r="C194" s="14" t="s">
        <v>493</v>
      </c>
      <c r="D194" s="14" t="s">
        <v>66</v>
      </c>
      <c r="E194" s="17">
        <v>123</v>
      </c>
      <c r="F194" s="15"/>
      <c r="G194" s="43"/>
      <c r="H194" s="43"/>
      <c r="I194" s="43"/>
      <c r="J194" s="43">
        <f t="shared" si="17"/>
        <v>0</v>
      </c>
      <c r="K194" s="43" t="s">
        <v>1045</v>
      </c>
    </row>
    <row r="195" spans="1:11" x14ac:dyDescent="0.2">
      <c r="A195" s="327" t="s">
        <v>897</v>
      </c>
      <c r="B195" s="14" t="s">
        <v>31</v>
      </c>
      <c r="C195" s="14" t="s">
        <v>493</v>
      </c>
      <c r="D195" s="14" t="s">
        <v>66</v>
      </c>
      <c r="E195" s="17">
        <v>123</v>
      </c>
      <c r="F195" s="15"/>
      <c r="G195" s="43"/>
      <c r="H195" s="43"/>
      <c r="I195" s="43"/>
      <c r="J195" s="43">
        <f t="shared" si="17"/>
        <v>0</v>
      </c>
      <c r="K195" s="43" t="s">
        <v>1047</v>
      </c>
    </row>
    <row r="196" spans="1:11" x14ac:dyDescent="0.2">
      <c r="A196" s="327" t="s">
        <v>898</v>
      </c>
      <c r="B196" s="14" t="s">
        <v>31</v>
      </c>
      <c r="C196" s="14" t="s">
        <v>493</v>
      </c>
      <c r="D196" s="14" t="s">
        <v>66</v>
      </c>
      <c r="E196" s="17">
        <v>123</v>
      </c>
      <c r="F196" s="15"/>
      <c r="G196" s="43"/>
      <c r="H196" s="43"/>
      <c r="I196" s="43"/>
      <c r="J196" s="43">
        <f t="shared" si="17"/>
        <v>0</v>
      </c>
      <c r="K196" s="43" t="s">
        <v>1041</v>
      </c>
    </row>
    <row r="197" spans="1:11" x14ac:dyDescent="0.2">
      <c r="A197" s="327" t="s">
        <v>899</v>
      </c>
      <c r="B197" s="14" t="s">
        <v>31</v>
      </c>
      <c r="C197" s="14" t="s">
        <v>493</v>
      </c>
      <c r="D197" s="14" t="s">
        <v>66</v>
      </c>
      <c r="E197" s="17">
        <v>123</v>
      </c>
      <c r="F197" s="15"/>
      <c r="G197" s="43"/>
      <c r="H197" s="43"/>
      <c r="I197" s="43"/>
      <c r="J197" s="43">
        <f t="shared" si="17"/>
        <v>0</v>
      </c>
      <c r="K197" s="43" t="s">
        <v>1046</v>
      </c>
    </row>
    <row r="198" spans="1:11" x14ac:dyDescent="0.2">
      <c r="A198" s="327" t="s">
        <v>900</v>
      </c>
      <c r="B198" s="14" t="s">
        <v>31</v>
      </c>
      <c r="C198" s="14" t="s">
        <v>493</v>
      </c>
      <c r="D198" s="14" t="s">
        <v>66</v>
      </c>
      <c r="E198" s="17">
        <v>123</v>
      </c>
      <c r="F198" s="15"/>
      <c r="G198" s="43"/>
      <c r="H198" s="43"/>
      <c r="I198" s="43"/>
      <c r="J198" s="43">
        <f t="shared" si="17"/>
        <v>0</v>
      </c>
      <c r="K198" s="43" t="s">
        <v>1032</v>
      </c>
    </row>
    <row r="199" spans="1:11" x14ac:dyDescent="0.2">
      <c r="A199" s="327" t="s">
        <v>901</v>
      </c>
      <c r="B199" s="14" t="s">
        <v>31</v>
      </c>
      <c r="C199" s="14" t="s">
        <v>493</v>
      </c>
      <c r="D199" s="14" t="s">
        <v>66</v>
      </c>
      <c r="E199" s="17">
        <v>123</v>
      </c>
      <c r="F199" s="15"/>
      <c r="G199" s="43"/>
      <c r="H199" s="43"/>
      <c r="I199" s="43"/>
      <c r="J199" s="43">
        <f t="shared" si="17"/>
        <v>0</v>
      </c>
      <c r="K199" s="43" t="s">
        <v>1048</v>
      </c>
    </row>
    <row r="200" spans="1:11" x14ac:dyDescent="0.2">
      <c r="A200" s="327" t="s">
        <v>902</v>
      </c>
      <c r="B200" s="14" t="s">
        <v>31</v>
      </c>
      <c r="C200" s="14" t="s">
        <v>493</v>
      </c>
      <c r="D200" s="14" t="s">
        <v>66</v>
      </c>
      <c r="E200" s="17">
        <v>123</v>
      </c>
      <c r="F200" s="15"/>
      <c r="G200" s="43"/>
      <c r="H200" s="43"/>
      <c r="I200" s="43"/>
      <c r="J200" s="43">
        <f t="shared" si="17"/>
        <v>0</v>
      </c>
      <c r="K200" s="43" t="s">
        <v>1049</v>
      </c>
    </row>
    <row r="201" spans="1:11" x14ac:dyDescent="0.2">
      <c r="A201" s="14" t="s">
        <v>31</v>
      </c>
      <c r="B201" s="14" t="str">
        <f>Modeltabelle[[#This Row],[SAP Teile-bezeichnung]]</f>
        <v>VCG123G05-1</v>
      </c>
      <c r="C201" s="14" t="s">
        <v>493</v>
      </c>
      <c r="D201" s="14" t="s">
        <v>66</v>
      </c>
      <c r="E201" s="17">
        <v>123</v>
      </c>
      <c r="F201" s="15">
        <v>1100</v>
      </c>
      <c r="G201" s="19">
        <v>550</v>
      </c>
      <c r="H201" s="19">
        <v>230</v>
      </c>
      <c r="I201" s="19" t="s">
        <v>4</v>
      </c>
      <c r="J201" s="19">
        <f t="shared" si="17"/>
        <v>632.5</v>
      </c>
      <c r="K201" s="43" t="s">
        <v>1043</v>
      </c>
    </row>
    <row r="202" spans="1:11" x14ac:dyDescent="0.2">
      <c r="A202" s="14" t="s">
        <v>1594</v>
      </c>
      <c r="B202" s="14" t="str">
        <f>Modeltabelle[[#This Row],[SAP Teile-bezeichnung]]</f>
        <v>VCG123-040-0390</v>
      </c>
      <c r="C202" s="14" t="s">
        <v>493</v>
      </c>
      <c r="D202" s="14" t="s">
        <v>66</v>
      </c>
      <c r="E202" s="17">
        <v>123</v>
      </c>
      <c r="F202" s="15">
        <v>1100</v>
      </c>
      <c r="G202" s="19">
        <v>550</v>
      </c>
      <c r="H202" s="19">
        <v>230</v>
      </c>
      <c r="I202" s="19" t="s">
        <v>4</v>
      </c>
      <c r="J202" s="19">
        <f t="shared" ref="J202" si="25">G202*1.15</f>
        <v>632.5</v>
      </c>
      <c r="K202" s="43" t="s">
        <v>493</v>
      </c>
    </row>
    <row r="203" spans="1:11" x14ac:dyDescent="0.2">
      <c r="A203" s="14" t="s">
        <v>73</v>
      </c>
      <c r="B203" s="14" t="str">
        <f>Modeltabelle[[#This Row],[SAP Teile-bezeichnung]]</f>
        <v>VCG145G04</v>
      </c>
      <c r="C203" s="14" t="s">
        <v>494</v>
      </c>
      <c r="D203" s="14" t="s">
        <v>66</v>
      </c>
      <c r="E203" s="17">
        <v>145</v>
      </c>
      <c r="F203" s="15">
        <v>1250</v>
      </c>
      <c r="G203" s="19">
        <v>650</v>
      </c>
      <c r="H203" s="19">
        <v>275</v>
      </c>
      <c r="I203" s="19" t="s">
        <v>4</v>
      </c>
      <c r="J203" s="19"/>
      <c r="K203" s="43" t="s">
        <v>359</v>
      </c>
    </row>
    <row r="204" spans="1:11" x14ac:dyDescent="0.2">
      <c r="A204" s="14" t="s">
        <v>903</v>
      </c>
      <c r="B204" s="14" t="str">
        <f>Modeltabelle[[#This Row],[SAP Teile-bezeichnung]]</f>
        <v>VCG145G04-001</v>
      </c>
      <c r="C204" s="14" t="s">
        <v>494</v>
      </c>
      <c r="D204" s="14" t="s">
        <v>66</v>
      </c>
      <c r="E204" s="17">
        <v>145</v>
      </c>
      <c r="F204" s="15">
        <v>1250</v>
      </c>
      <c r="G204" s="19">
        <v>650</v>
      </c>
      <c r="H204" s="19">
        <v>275</v>
      </c>
      <c r="I204" s="19" t="s">
        <v>4</v>
      </c>
      <c r="J204" s="19"/>
      <c r="K204" s="43" t="s">
        <v>1052</v>
      </c>
    </row>
    <row r="205" spans="1:11" x14ac:dyDescent="0.2">
      <c r="A205" s="327" t="s">
        <v>904</v>
      </c>
      <c r="B205" s="14" t="s">
        <v>74</v>
      </c>
      <c r="C205" s="14" t="s">
        <v>494</v>
      </c>
      <c r="D205" s="14" t="s">
        <v>66</v>
      </c>
      <c r="E205" s="17">
        <v>145</v>
      </c>
      <c r="F205" s="15">
        <v>1250</v>
      </c>
      <c r="G205" s="19">
        <v>650</v>
      </c>
      <c r="H205" s="19">
        <v>275</v>
      </c>
      <c r="I205" s="19" t="s">
        <v>4</v>
      </c>
      <c r="J205" s="19"/>
      <c r="K205" s="43" t="s">
        <v>1050</v>
      </c>
    </row>
    <row r="206" spans="1:11" x14ac:dyDescent="0.2">
      <c r="A206" s="14" t="s">
        <v>905</v>
      </c>
      <c r="B206" s="14" t="str">
        <f>Modeltabelle[[#This Row],[SAP Teile-bezeichnung]]</f>
        <v>VCG145G05-001-LAG</v>
      </c>
      <c r="C206" s="14" t="s">
        <v>494</v>
      </c>
      <c r="D206" s="14" t="s">
        <v>66</v>
      </c>
      <c r="E206" s="17">
        <v>145</v>
      </c>
      <c r="F206" s="15">
        <v>1250</v>
      </c>
      <c r="G206" s="19">
        <v>650</v>
      </c>
      <c r="H206" s="19">
        <v>275</v>
      </c>
      <c r="I206" s="19" t="s">
        <v>4</v>
      </c>
      <c r="J206" s="19"/>
      <c r="K206" s="43" t="s">
        <v>1050</v>
      </c>
    </row>
    <row r="207" spans="1:11" x14ac:dyDescent="0.2">
      <c r="A207" s="327" t="s">
        <v>906</v>
      </c>
      <c r="B207" s="14" t="s">
        <v>74</v>
      </c>
      <c r="C207" s="14" t="s">
        <v>494</v>
      </c>
      <c r="D207" s="14" t="s">
        <v>66</v>
      </c>
      <c r="E207" s="17">
        <v>145</v>
      </c>
      <c r="F207" s="15">
        <v>1250</v>
      </c>
      <c r="G207" s="19">
        <v>650</v>
      </c>
      <c r="H207" s="19">
        <v>275</v>
      </c>
      <c r="I207" s="19" t="s">
        <v>4</v>
      </c>
      <c r="J207" s="19"/>
      <c r="K207" s="43" t="s">
        <v>1051</v>
      </c>
    </row>
    <row r="208" spans="1:11" x14ac:dyDescent="0.2">
      <c r="A208" s="14" t="s">
        <v>74</v>
      </c>
      <c r="B208" s="14" t="str">
        <f>Modeltabelle[[#This Row],[SAP Teile-bezeichnung]]</f>
        <v>VCG145G05-1</v>
      </c>
      <c r="C208" s="14" t="s">
        <v>494</v>
      </c>
      <c r="D208" s="14" t="s">
        <v>66</v>
      </c>
      <c r="E208" s="17">
        <v>145</v>
      </c>
      <c r="F208" s="15">
        <v>1250</v>
      </c>
      <c r="G208" s="19">
        <v>650</v>
      </c>
      <c r="H208" s="19">
        <v>275</v>
      </c>
      <c r="I208" s="19" t="s">
        <v>4</v>
      </c>
      <c r="J208" s="19"/>
      <c r="K208" s="43" t="s">
        <v>360</v>
      </c>
    </row>
    <row r="209" spans="1:11" x14ac:dyDescent="0.2">
      <c r="A209" s="14" t="s">
        <v>1593</v>
      </c>
      <c r="B209" s="14" t="str">
        <f>Modeltabelle[[#This Row],[SAP Teile-bezeichnung]]</f>
        <v>VCG145-040-0390</v>
      </c>
      <c r="C209" s="14" t="s">
        <v>494</v>
      </c>
      <c r="D209" s="14" t="s">
        <v>66</v>
      </c>
      <c r="E209" s="17">
        <v>145</v>
      </c>
      <c r="F209" s="15">
        <v>1250</v>
      </c>
      <c r="G209" s="19">
        <v>650</v>
      </c>
      <c r="H209" s="19">
        <v>275</v>
      </c>
      <c r="I209" s="19" t="s">
        <v>4</v>
      </c>
      <c r="J209" s="19">
        <f t="shared" ref="J209" si="26">G209*1.15</f>
        <v>747.49999999999989</v>
      </c>
      <c r="K209" s="43" t="s">
        <v>494</v>
      </c>
    </row>
    <row r="210" spans="1:11" x14ac:dyDescent="0.2">
      <c r="A210" s="14" t="s">
        <v>1427</v>
      </c>
      <c r="B210" s="14" t="str">
        <f>Modeltabelle[[#This Row],[SAP Teile-bezeichnung]]</f>
        <v>VCG170G04</v>
      </c>
      <c r="C210" s="14" t="s">
        <v>495</v>
      </c>
      <c r="D210" s="14" t="s">
        <v>66</v>
      </c>
      <c r="E210" s="17">
        <v>170</v>
      </c>
      <c r="F210" s="15">
        <v>1500</v>
      </c>
      <c r="G210" s="19">
        <v>750</v>
      </c>
      <c r="H210" s="19">
        <v>325</v>
      </c>
      <c r="I210" s="19" t="s">
        <v>4</v>
      </c>
      <c r="J210" s="19">
        <f t="shared" ref="J210" si="27">G210*1.15</f>
        <v>862.49999999999989</v>
      </c>
      <c r="K210" s="43" t="s">
        <v>1428</v>
      </c>
    </row>
    <row r="211" spans="1:11" x14ac:dyDescent="0.2">
      <c r="A211" s="327" t="s">
        <v>907</v>
      </c>
      <c r="B211" s="14" t="s">
        <v>357</v>
      </c>
      <c r="C211" s="14" t="s">
        <v>495</v>
      </c>
      <c r="D211" s="14" t="s">
        <v>66</v>
      </c>
      <c r="E211" s="17">
        <v>170</v>
      </c>
      <c r="F211" s="15">
        <v>1500</v>
      </c>
      <c r="G211" s="19">
        <v>750</v>
      </c>
      <c r="H211" s="19">
        <v>325</v>
      </c>
      <c r="I211" s="19" t="s">
        <v>4</v>
      </c>
      <c r="J211" s="19">
        <f t="shared" si="17"/>
        <v>862.49999999999989</v>
      </c>
      <c r="K211" s="43" t="s">
        <v>1053</v>
      </c>
    </row>
    <row r="212" spans="1:11" x14ac:dyDescent="0.2">
      <c r="A212" s="14" t="s">
        <v>908</v>
      </c>
      <c r="B212" s="14" t="str">
        <f>Modeltabelle[[#This Row],[SAP Teile-bezeichnung]]</f>
        <v>VCG170G05-001-LAG</v>
      </c>
      <c r="C212" s="14" t="s">
        <v>495</v>
      </c>
      <c r="D212" s="14" t="s">
        <v>66</v>
      </c>
      <c r="E212" s="17">
        <v>170</v>
      </c>
      <c r="F212" s="15">
        <v>1500</v>
      </c>
      <c r="G212" s="19">
        <v>750</v>
      </c>
      <c r="H212" s="19">
        <v>325</v>
      </c>
      <c r="I212" s="19" t="s">
        <v>4</v>
      </c>
      <c r="J212" s="19">
        <f t="shared" si="17"/>
        <v>862.49999999999989</v>
      </c>
      <c r="K212" s="43" t="s">
        <v>1053</v>
      </c>
    </row>
    <row r="213" spans="1:11" x14ac:dyDescent="0.2">
      <c r="A213" s="327" t="s">
        <v>909</v>
      </c>
      <c r="B213" s="14" t="s">
        <v>357</v>
      </c>
      <c r="C213" s="14" t="s">
        <v>495</v>
      </c>
      <c r="D213" s="14" t="s">
        <v>66</v>
      </c>
      <c r="E213" s="17">
        <v>170</v>
      </c>
      <c r="F213" s="15">
        <v>1500</v>
      </c>
      <c r="G213" s="19">
        <v>750</v>
      </c>
      <c r="H213" s="19">
        <v>325</v>
      </c>
      <c r="I213" s="19" t="s">
        <v>4</v>
      </c>
      <c r="J213" s="19">
        <f t="shared" si="17"/>
        <v>862.49999999999989</v>
      </c>
      <c r="K213" s="43" t="s">
        <v>1054</v>
      </c>
    </row>
    <row r="214" spans="1:11" x14ac:dyDescent="0.2">
      <c r="A214" s="14" t="s">
        <v>1773</v>
      </c>
      <c r="B214" s="14" t="str">
        <f>Modeltabelle[[#This Row],[SAP Teile-bezeichnung]]</f>
        <v>VCG170G05</v>
      </c>
      <c r="C214" s="14" t="s">
        <v>495</v>
      </c>
      <c r="D214" s="14" t="s">
        <v>66</v>
      </c>
      <c r="E214" s="17">
        <v>170</v>
      </c>
      <c r="F214" s="15">
        <v>1500</v>
      </c>
      <c r="G214" s="19">
        <v>750</v>
      </c>
      <c r="H214" s="43">
        <v>325</v>
      </c>
      <c r="I214" s="43"/>
      <c r="J214" s="43">
        <f t="shared" si="17"/>
        <v>862.49999999999989</v>
      </c>
      <c r="K214" s="43" t="s">
        <v>1774</v>
      </c>
    </row>
    <row r="215" spans="1:11" x14ac:dyDescent="0.2">
      <c r="A215" s="327" t="s">
        <v>825</v>
      </c>
      <c r="B215" s="14" t="str">
        <f>Modeltabelle[[#This Row],[SAP Teile-bezeichnung]]</f>
        <v>VCG245-040-001</v>
      </c>
      <c r="C215" s="14" t="s">
        <v>491</v>
      </c>
      <c r="D215" s="14" t="s">
        <v>66</v>
      </c>
      <c r="E215" s="17">
        <v>245</v>
      </c>
      <c r="F215" s="15">
        <v>2200</v>
      </c>
      <c r="G215" s="19">
        <v>1050</v>
      </c>
      <c r="H215" s="19">
        <v>460</v>
      </c>
      <c r="I215" s="19" t="s">
        <v>4</v>
      </c>
      <c r="J215" s="19">
        <f t="shared" si="17"/>
        <v>1207.5</v>
      </c>
      <c r="K215" s="43" t="s">
        <v>1057</v>
      </c>
    </row>
    <row r="216" spans="1:11" x14ac:dyDescent="0.2">
      <c r="A216" s="327" t="s">
        <v>826</v>
      </c>
      <c r="B216" s="14" t="str">
        <f>Modeltabelle[[#This Row],[SAP Teile-bezeichnung]]</f>
        <v>VCG245-040-003</v>
      </c>
      <c r="C216" s="14" t="s">
        <v>491</v>
      </c>
      <c r="D216" s="14" t="s">
        <v>66</v>
      </c>
      <c r="E216" s="17">
        <v>245</v>
      </c>
      <c r="F216" s="15">
        <v>2200</v>
      </c>
      <c r="G216" s="19">
        <v>1050</v>
      </c>
      <c r="H216" s="19">
        <v>460</v>
      </c>
      <c r="I216" s="19" t="s">
        <v>4</v>
      </c>
      <c r="J216" s="19">
        <f t="shared" si="17"/>
        <v>1207.5</v>
      </c>
      <c r="K216" s="43" t="s">
        <v>1056</v>
      </c>
    </row>
    <row r="217" spans="1:11" x14ac:dyDescent="0.2">
      <c r="A217" s="14" t="s">
        <v>175</v>
      </c>
      <c r="B217" s="14" t="str">
        <f>Modeltabelle[[#This Row],[SAP Teile-bezeichnung]]</f>
        <v>VCG245-040-0390</v>
      </c>
      <c r="C217" s="14" t="s">
        <v>491</v>
      </c>
      <c r="D217" s="14" t="s">
        <v>66</v>
      </c>
      <c r="E217" s="17">
        <v>245</v>
      </c>
      <c r="F217" s="15">
        <v>2200</v>
      </c>
      <c r="G217" s="19">
        <v>1050</v>
      </c>
      <c r="H217" s="19">
        <v>460</v>
      </c>
      <c r="I217" s="19" t="s">
        <v>4</v>
      </c>
      <c r="J217" s="19">
        <f t="shared" si="17"/>
        <v>1207.5</v>
      </c>
      <c r="K217" s="43" t="s">
        <v>491</v>
      </c>
    </row>
    <row r="218" spans="1:11" x14ac:dyDescent="0.2">
      <c r="A218" s="14" t="s">
        <v>515</v>
      </c>
      <c r="B218" s="14" t="str">
        <f>Modeltabelle[[#This Row],[SAP Teile-bezeichnung]]</f>
        <v>VCG245-050-0440</v>
      </c>
      <c r="C218" s="14" t="s">
        <v>491</v>
      </c>
      <c r="D218" s="14" t="s">
        <v>66</v>
      </c>
      <c r="E218" s="17">
        <v>245</v>
      </c>
      <c r="F218" s="15">
        <v>2200</v>
      </c>
      <c r="G218" s="43">
        <v>1050</v>
      </c>
      <c r="H218" s="43">
        <v>460</v>
      </c>
      <c r="I218" s="43"/>
      <c r="J218" s="43">
        <f t="shared" si="17"/>
        <v>1207.5</v>
      </c>
      <c r="K218" s="43" t="s">
        <v>1055</v>
      </c>
    </row>
    <row r="219" spans="1:11" x14ac:dyDescent="0.2">
      <c r="A219" s="327" t="s">
        <v>827</v>
      </c>
      <c r="B219" s="14" t="s">
        <v>82</v>
      </c>
      <c r="C219" s="14" t="s">
        <v>491</v>
      </c>
      <c r="D219" s="14" t="s">
        <v>66</v>
      </c>
      <c r="E219" s="17">
        <v>245</v>
      </c>
      <c r="F219" s="15"/>
      <c r="G219" s="19">
        <v>1050</v>
      </c>
      <c r="H219" s="19">
        <v>460</v>
      </c>
      <c r="I219" s="19" t="s">
        <v>4</v>
      </c>
      <c r="J219" s="19">
        <f t="shared" si="17"/>
        <v>1207.5</v>
      </c>
      <c r="K219" s="43" t="s">
        <v>1033</v>
      </c>
    </row>
    <row r="220" spans="1:11" x14ac:dyDescent="0.2">
      <c r="A220" s="14" t="s">
        <v>828</v>
      </c>
      <c r="B220" s="14" t="str">
        <f>Modeltabelle[[#This Row],[SAP Teile-bezeichnung]]</f>
        <v>VCG300-040-0390</v>
      </c>
      <c r="C220" s="14" t="s">
        <v>496</v>
      </c>
      <c r="D220" s="14" t="s">
        <v>66</v>
      </c>
      <c r="E220" s="17">
        <v>300</v>
      </c>
      <c r="F220" s="15">
        <v>1900</v>
      </c>
      <c r="G220" s="19">
        <v>1050</v>
      </c>
      <c r="H220" s="19">
        <v>460</v>
      </c>
      <c r="I220" s="19" t="s">
        <v>4</v>
      </c>
      <c r="J220" s="19">
        <f t="shared" si="17"/>
        <v>1207.5</v>
      </c>
      <c r="K220" s="43" t="s">
        <v>496</v>
      </c>
    </row>
    <row r="221" spans="1:11" x14ac:dyDescent="0.2">
      <c r="A221" s="14" t="s">
        <v>829</v>
      </c>
      <c r="B221" s="14" t="str">
        <f>Modeltabelle[[#This Row],[SAP Teile-bezeichnung]]</f>
        <v>VCG362-040-0390</v>
      </c>
      <c r="C221" s="14" t="s">
        <v>497</v>
      </c>
      <c r="D221" s="14" t="s">
        <v>66</v>
      </c>
      <c r="E221" s="17">
        <v>420</v>
      </c>
      <c r="F221" s="15">
        <v>3000</v>
      </c>
      <c r="G221" s="19">
        <v>1425</v>
      </c>
      <c r="H221" s="19">
        <v>630</v>
      </c>
      <c r="I221" s="19">
        <v>1050</v>
      </c>
      <c r="J221" s="19">
        <f t="shared" si="17"/>
        <v>1638.7499999999998</v>
      </c>
      <c r="K221" s="43" t="s">
        <v>497</v>
      </c>
    </row>
    <row r="222" spans="1:11" x14ac:dyDescent="0.2">
      <c r="A222" s="14" t="s">
        <v>830</v>
      </c>
      <c r="B222" s="14" t="str">
        <f>Modeltabelle[[#This Row],[SAP Teile-bezeichnung]]</f>
        <v>VCG362-050-0440</v>
      </c>
      <c r="C222" s="14" t="s">
        <v>497</v>
      </c>
      <c r="D222" s="14" t="s">
        <v>66</v>
      </c>
      <c r="E222" s="17">
        <v>420</v>
      </c>
      <c r="F222" s="15">
        <v>3000</v>
      </c>
      <c r="G222" s="19">
        <v>1425</v>
      </c>
      <c r="H222" s="19">
        <v>630</v>
      </c>
      <c r="I222" s="19">
        <v>1050</v>
      </c>
      <c r="J222" s="19">
        <f t="shared" si="17"/>
        <v>1638.7499999999998</v>
      </c>
      <c r="K222" s="43" t="s">
        <v>497</v>
      </c>
    </row>
    <row r="223" spans="1:11" x14ac:dyDescent="0.2">
      <c r="A223" s="14" t="s">
        <v>98</v>
      </c>
      <c r="B223" s="14" t="str">
        <f>Modeltabelle[[#This Row],[SAP Teile-bezeichnung]]</f>
        <v>VCG362G05</v>
      </c>
      <c r="C223" s="14" t="s">
        <v>497</v>
      </c>
      <c r="D223" s="14" t="s">
        <v>66</v>
      </c>
      <c r="E223" s="17">
        <v>362</v>
      </c>
      <c r="F223" s="15"/>
      <c r="G223" s="19">
        <v>1175</v>
      </c>
      <c r="H223" s="19">
        <v>460</v>
      </c>
      <c r="I223" s="19">
        <v>950</v>
      </c>
      <c r="J223" s="19">
        <f t="shared" si="17"/>
        <v>1351.25</v>
      </c>
      <c r="K223" s="43" t="s">
        <v>443</v>
      </c>
    </row>
    <row r="224" spans="1:11" x14ac:dyDescent="0.2">
      <c r="A224" s="14" t="s">
        <v>97</v>
      </c>
      <c r="B224" s="14" t="str">
        <f>Modeltabelle[[#This Row],[SAP Teile-bezeichnung]]</f>
        <v>VCG362G11</v>
      </c>
      <c r="C224" s="14" t="s">
        <v>497</v>
      </c>
      <c r="D224" s="14" t="s">
        <v>66</v>
      </c>
      <c r="E224" s="17">
        <v>362</v>
      </c>
      <c r="F224" s="15"/>
      <c r="G224" s="19">
        <v>1175</v>
      </c>
      <c r="H224" s="19">
        <v>460</v>
      </c>
      <c r="I224" s="19">
        <v>950</v>
      </c>
      <c r="J224" s="19">
        <f t="shared" si="17"/>
        <v>1351.25</v>
      </c>
      <c r="K224" s="43" t="s">
        <v>444</v>
      </c>
    </row>
    <row r="225" spans="1:11" x14ac:dyDescent="0.2">
      <c r="A225" s="14" t="s">
        <v>180</v>
      </c>
      <c r="B225" s="14" t="str">
        <f>Modeltabelle[[#This Row],[SAP Teile-bezeichnung]]</f>
        <v>VCG420-050-0440</v>
      </c>
      <c r="C225" s="14" t="s">
        <v>498</v>
      </c>
      <c r="D225" s="14" t="s">
        <v>66</v>
      </c>
      <c r="E225" s="17">
        <v>420</v>
      </c>
      <c r="F225" s="15">
        <v>3000</v>
      </c>
      <c r="G225" s="19">
        <v>1425</v>
      </c>
      <c r="H225" s="19">
        <v>630</v>
      </c>
      <c r="I225" s="19">
        <v>1050</v>
      </c>
      <c r="J225" s="19">
        <f t="shared" ref="J225:J279" si="28">G225*1.15</f>
        <v>1638.7499999999998</v>
      </c>
      <c r="K225" s="43" t="s">
        <v>498</v>
      </c>
    </row>
    <row r="226" spans="1:11" x14ac:dyDescent="0.2">
      <c r="A226" s="14" t="s">
        <v>112</v>
      </c>
      <c r="B226" s="14" t="str">
        <f>Modeltabelle[[#This Row],[SAP Teile-bezeichnung]]</f>
        <v>VCG420G05</v>
      </c>
      <c r="C226" s="14" t="s">
        <v>498</v>
      </c>
      <c r="D226" s="14" t="s">
        <v>66</v>
      </c>
      <c r="E226" s="17">
        <v>420</v>
      </c>
      <c r="F226" s="15"/>
      <c r="G226" s="19">
        <v>1425</v>
      </c>
      <c r="H226" s="19">
        <v>630</v>
      </c>
      <c r="I226" s="19">
        <v>1050</v>
      </c>
      <c r="J226" s="19">
        <f t="shared" si="28"/>
        <v>1638.7499999999998</v>
      </c>
      <c r="K226" s="43" t="s">
        <v>445</v>
      </c>
    </row>
    <row r="227" spans="1:11" x14ac:dyDescent="0.2">
      <c r="A227" s="14" t="s">
        <v>113</v>
      </c>
      <c r="B227" s="14" t="str">
        <f>Modeltabelle[[#This Row],[SAP Teile-bezeichnung]]</f>
        <v>VCG420G11</v>
      </c>
      <c r="C227" s="14" t="s">
        <v>498</v>
      </c>
      <c r="D227" s="14" t="s">
        <v>66</v>
      </c>
      <c r="E227" s="17">
        <v>420</v>
      </c>
      <c r="F227" s="15"/>
      <c r="G227" s="19">
        <v>1425</v>
      </c>
      <c r="H227" s="19">
        <v>630</v>
      </c>
      <c r="I227" s="19">
        <v>1050</v>
      </c>
      <c r="J227" s="19">
        <f t="shared" si="28"/>
        <v>1638.7499999999998</v>
      </c>
      <c r="K227" s="43" t="s">
        <v>446</v>
      </c>
    </row>
    <row r="228" spans="1:11" x14ac:dyDescent="0.2">
      <c r="A228" s="327" t="s">
        <v>831</v>
      </c>
      <c r="B228" s="14" t="s">
        <v>113</v>
      </c>
      <c r="C228" s="14" t="s">
        <v>498</v>
      </c>
      <c r="D228" s="14" t="s">
        <v>66</v>
      </c>
      <c r="E228" s="17">
        <v>420</v>
      </c>
      <c r="F228" s="15"/>
      <c r="G228" s="19">
        <v>1425</v>
      </c>
      <c r="H228" s="19">
        <v>630</v>
      </c>
      <c r="I228" s="19">
        <v>1050</v>
      </c>
      <c r="J228" s="19">
        <f t="shared" si="28"/>
        <v>1638.7499999999998</v>
      </c>
      <c r="K228" s="43" t="s">
        <v>1034</v>
      </c>
    </row>
    <row r="229" spans="1:11" x14ac:dyDescent="0.2">
      <c r="A229" s="328" t="s">
        <v>832</v>
      </c>
      <c r="B229" s="14" t="s">
        <v>113</v>
      </c>
      <c r="C229" s="14" t="s">
        <v>498</v>
      </c>
      <c r="D229" s="14" t="s">
        <v>66</v>
      </c>
      <c r="E229" s="17">
        <v>420</v>
      </c>
      <c r="F229" s="15"/>
      <c r="G229" s="19">
        <v>1425</v>
      </c>
      <c r="H229" s="19">
        <v>630</v>
      </c>
      <c r="I229" s="19">
        <v>1050</v>
      </c>
      <c r="J229" s="19">
        <f t="shared" si="28"/>
        <v>1638.7499999999998</v>
      </c>
      <c r="K229" s="43" t="s">
        <v>1035</v>
      </c>
    </row>
    <row r="230" spans="1:11" x14ac:dyDescent="0.2">
      <c r="A230" s="249" t="s">
        <v>120</v>
      </c>
      <c r="B230" s="14" t="str">
        <f>Modeltabelle[[#This Row],[SAP Teile-bezeichnung]]</f>
        <v>VCG550G01</v>
      </c>
      <c r="C230" s="14" t="s">
        <v>499</v>
      </c>
      <c r="D230" s="14" t="s">
        <v>66</v>
      </c>
      <c r="E230" s="17">
        <v>550</v>
      </c>
      <c r="F230" s="15"/>
      <c r="G230" s="19">
        <v>1550</v>
      </c>
      <c r="H230" s="19">
        <v>680</v>
      </c>
      <c r="I230" s="19">
        <v>1175</v>
      </c>
      <c r="J230" s="19">
        <f t="shared" si="28"/>
        <v>1782.4999999999998</v>
      </c>
      <c r="K230" s="43" t="s">
        <v>447</v>
      </c>
    </row>
    <row r="231" spans="1:11" x14ac:dyDescent="0.2">
      <c r="A231" s="249" t="s">
        <v>121</v>
      </c>
      <c r="B231" s="14" t="str">
        <f>Modeltabelle[[#This Row],[SAP Teile-bezeichnung]]</f>
        <v>VCG550G05</v>
      </c>
      <c r="C231" s="14" t="s">
        <v>499</v>
      </c>
      <c r="D231" s="14" t="s">
        <v>66</v>
      </c>
      <c r="E231" s="17">
        <v>550</v>
      </c>
      <c r="F231" s="15"/>
      <c r="G231" s="19">
        <v>1550</v>
      </c>
      <c r="H231" s="19">
        <v>680</v>
      </c>
      <c r="I231" s="19">
        <v>1175</v>
      </c>
      <c r="J231" s="19">
        <f t="shared" si="28"/>
        <v>1782.4999999999998</v>
      </c>
      <c r="K231" s="43" t="s">
        <v>448</v>
      </c>
    </row>
    <row r="232" spans="1:11" x14ac:dyDescent="0.2">
      <c r="A232" s="249" t="s">
        <v>135</v>
      </c>
      <c r="B232" s="14" t="str">
        <f>Modeltabelle[[#This Row],[SAP Teile-bezeichnung]]</f>
        <v>VCG800G01</v>
      </c>
      <c r="C232" s="14" t="s">
        <v>500</v>
      </c>
      <c r="D232" s="14" t="s">
        <v>66</v>
      </c>
      <c r="E232" s="17">
        <v>800</v>
      </c>
      <c r="F232" s="15"/>
      <c r="G232" s="19">
        <v>2100</v>
      </c>
      <c r="H232" s="42" t="s">
        <v>4</v>
      </c>
      <c r="I232" s="19">
        <v>1550</v>
      </c>
      <c r="J232" s="19">
        <f t="shared" si="28"/>
        <v>2415</v>
      </c>
      <c r="K232" s="43" t="s">
        <v>449</v>
      </c>
    </row>
    <row r="233" spans="1:11" x14ac:dyDescent="0.2">
      <c r="A233" s="249" t="s">
        <v>1476</v>
      </c>
      <c r="B233" s="14" t="str">
        <f>Modeltabelle[[#This Row],[SAP Teile-bezeichnung]]</f>
        <v>VTA123-022-01</v>
      </c>
      <c r="C233" s="14" t="s">
        <v>1479</v>
      </c>
      <c r="D233" s="14" t="s">
        <v>68</v>
      </c>
      <c r="E233" s="17">
        <v>123</v>
      </c>
      <c r="F233" s="15"/>
      <c r="G233" s="43"/>
      <c r="H233" s="43"/>
      <c r="I233" s="43"/>
      <c r="J233" s="43">
        <f t="shared" ref="J233:J235" si="29">G233*1.15</f>
        <v>0</v>
      </c>
      <c r="K233" s="43" t="s">
        <v>1479</v>
      </c>
    </row>
    <row r="234" spans="1:11" x14ac:dyDescent="0.2">
      <c r="A234" s="249" t="s">
        <v>1478</v>
      </c>
      <c r="B234" s="14" t="str">
        <f>Modeltabelle[[#This Row],[SAP Teile-bezeichnung]]</f>
        <v>VTA123-022-001</v>
      </c>
      <c r="C234" s="14" t="s">
        <v>1479</v>
      </c>
      <c r="D234" s="14" t="s">
        <v>68</v>
      </c>
      <c r="E234" s="17">
        <v>123</v>
      </c>
      <c r="F234" s="15"/>
      <c r="G234" s="43"/>
      <c r="H234" s="43"/>
      <c r="I234" s="43"/>
      <c r="J234" s="43">
        <f t="shared" si="29"/>
        <v>0</v>
      </c>
      <c r="K234" s="43" t="s">
        <v>1479</v>
      </c>
    </row>
    <row r="235" spans="1:11" x14ac:dyDescent="0.2">
      <c r="A235" s="249" t="s">
        <v>1477</v>
      </c>
      <c r="B235" s="14" t="str">
        <f>Modeltabelle[[#This Row],[SAP Teile-bezeichnung]]</f>
        <v>VTA123-01</v>
      </c>
      <c r="C235" s="14" t="s">
        <v>1479</v>
      </c>
      <c r="D235" s="14" t="s">
        <v>68</v>
      </c>
      <c r="E235" s="17">
        <v>123</v>
      </c>
      <c r="F235" s="15"/>
      <c r="G235" s="43"/>
      <c r="H235" s="43"/>
      <c r="I235" s="43"/>
      <c r="J235" s="43">
        <f t="shared" si="29"/>
        <v>0</v>
      </c>
      <c r="K235" s="43" t="s">
        <v>1479</v>
      </c>
    </row>
    <row r="236" spans="1:11" x14ac:dyDescent="0.2">
      <c r="A236" s="249" t="s">
        <v>910</v>
      </c>
      <c r="B236" s="14" t="str">
        <f>Modeltabelle[[#This Row],[SAP Teile-bezeichnung]]</f>
        <v>VTA145-01</v>
      </c>
      <c r="C236" s="14" t="s">
        <v>942</v>
      </c>
      <c r="D236" s="14" t="s">
        <v>68</v>
      </c>
      <c r="E236" s="17">
        <v>145</v>
      </c>
      <c r="F236" s="15"/>
      <c r="G236" s="43"/>
      <c r="H236" s="43"/>
      <c r="I236" s="43"/>
      <c r="J236" s="43">
        <f t="shared" si="28"/>
        <v>0</v>
      </c>
      <c r="K236" s="43" t="s">
        <v>942</v>
      </c>
    </row>
    <row r="237" spans="1:11" x14ac:dyDescent="0.2">
      <c r="A237" s="249" t="s">
        <v>833</v>
      </c>
      <c r="B237" s="14" t="str">
        <f>Modeltabelle[[#This Row],[SAP Teile-bezeichnung]]</f>
        <v>VTA245-01</v>
      </c>
      <c r="C237" s="14" t="s">
        <v>943</v>
      </c>
      <c r="D237" s="14" t="s">
        <v>68</v>
      </c>
      <c r="E237" s="17">
        <v>245</v>
      </c>
      <c r="F237" s="15"/>
      <c r="G237" s="19">
        <v>1050</v>
      </c>
      <c r="H237" s="19">
        <v>460</v>
      </c>
      <c r="I237" s="19" t="s">
        <v>4</v>
      </c>
      <c r="J237" s="43">
        <f t="shared" si="28"/>
        <v>1207.5</v>
      </c>
      <c r="K237" s="43" t="s">
        <v>943</v>
      </c>
    </row>
    <row r="238" spans="1:11" x14ac:dyDescent="0.2">
      <c r="A238" s="249" t="s">
        <v>1514</v>
      </c>
      <c r="B238" s="14" t="str">
        <f>Modeltabelle[[#This Row],[SAP Teile-bezeichnung]]</f>
        <v>VTA300-01</v>
      </c>
      <c r="C238" s="14" t="s">
        <v>1518</v>
      </c>
      <c r="D238" s="14" t="s">
        <v>68</v>
      </c>
      <c r="E238" s="17" t="s">
        <v>1517</v>
      </c>
      <c r="F238" s="15"/>
      <c r="G238" s="19">
        <v>1050</v>
      </c>
      <c r="H238" s="19">
        <v>460</v>
      </c>
      <c r="I238" s="43" t="s">
        <v>1521</v>
      </c>
      <c r="J238" s="43">
        <f>G238*1.15</f>
        <v>1207.5</v>
      </c>
      <c r="K238" s="43" t="s">
        <v>1518</v>
      </c>
    </row>
    <row r="239" spans="1:11" x14ac:dyDescent="0.2">
      <c r="A239" s="249" t="s">
        <v>1515</v>
      </c>
      <c r="B239" s="14" t="str">
        <f>Modeltabelle[[#This Row],[SAP Teile-bezeichnung]]</f>
        <v>VTA362-01</v>
      </c>
      <c r="C239" s="14" t="s">
        <v>1519</v>
      </c>
      <c r="D239" s="14" t="s">
        <v>68</v>
      </c>
      <c r="E239" s="17" t="s">
        <v>1455</v>
      </c>
      <c r="F239" s="15"/>
      <c r="G239" s="43"/>
      <c r="H239" s="43"/>
      <c r="I239" s="43"/>
      <c r="J239" s="43">
        <f>G239*1.15</f>
        <v>0</v>
      </c>
      <c r="K239" s="43" t="s">
        <v>1519</v>
      </c>
    </row>
    <row r="240" spans="1:11" x14ac:dyDescent="0.2">
      <c r="A240" s="249" t="s">
        <v>834</v>
      </c>
      <c r="B240" s="14" t="str">
        <f>Modeltabelle[[#This Row],[SAP Teile-bezeichnung]]</f>
        <v>VTA420-01</v>
      </c>
      <c r="C240" s="14" t="s">
        <v>944</v>
      </c>
      <c r="D240" s="14" t="s">
        <v>68</v>
      </c>
      <c r="E240" s="17">
        <v>420</v>
      </c>
      <c r="F240" s="15"/>
      <c r="G240" s="43"/>
      <c r="H240" s="43"/>
      <c r="I240" s="43"/>
      <c r="J240" s="43">
        <f t="shared" si="28"/>
        <v>0</v>
      </c>
      <c r="K240" s="43" t="s">
        <v>944</v>
      </c>
    </row>
    <row r="241" spans="1:11" x14ac:dyDescent="0.2">
      <c r="A241" s="328" t="s">
        <v>835</v>
      </c>
      <c r="B241" s="14" t="s">
        <v>834</v>
      </c>
      <c r="C241" s="14" t="s">
        <v>944</v>
      </c>
      <c r="D241" s="14" t="s">
        <v>68</v>
      </c>
      <c r="E241" s="17">
        <v>420</v>
      </c>
      <c r="F241" s="15"/>
      <c r="G241" s="43"/>
      <c r="H241" s="43"/>
      <c r="I241" s="43"/>
      <c r="J241" s="43">
        <f t="shared" si="28"/>
        <v>0</v>
      </c>
      <c r="K241" s="43" t="s">
        <v>1037</v>
      </c>
    </row>
    <row r="242" spans="1:11" x14ac:dyDescent="0.2">
      <c r="A242" s="328" t="s">
        <v>836</v>
      </c>
      <c r="B242" s="14" t="s">
        <v>834</v>
      </c>
      <c r="C242" s="14" t="s">
        <v>944</v>
      </c>
      <c r="D242" s="14" t="s">
        <v>68</v>
      </c>
      <c r="E242" s="17">
        <v>420</v>
      </c>
      <c r="F242" s="15"/>
      <c r="G242" s="43"/>
      <c r="H242" s="43"/>
      <c r="I242" s="43"/>
      <c r="J242" s="43">
        <f t="shared" si="28"/>
        <v>0</v>
      </c>
      <c r="K242" s="43" t="s">
        <v>1038</v>
      </c>
    </row>
    <row r="243" spans="1:11" x14ac:dyDescent="0.2">
      <c r="A243" s="328" t="s">
        <v>911</v>
      </c>
      <c r="B243" s="14" t="s">
        <v>1351</v>
      </c>
      <c r="C243" s="14" t="s">
        <v>945</v>
      </c>
      <c r="D243" s="14" t="s">
        <v>68</v>
      </c>
      <c r="E243" s="17">
        <v>72</v>
      </c>
      <c r="F243" s="15"/>
      <c r="G243" s="43"/>
      <c r="H243" s="43"/>
      <c r="I243" s="43"/>
      <c r="J243" s="43">
        <f t="shared" si="28"/>
        <v>0</v>
      </c>
      <c r="K243" s="43" t="s">
        <v>1089</v>
      </c>
    </row>
    <row r="244" spans="1:11" x14ac:dyDescent="0.2">
      <c r="A244" s="249" t="s">
        <v>1351</v>
      </c>
      <c r="B244" s="14" t="s">
        <v>1351</v>
      </c>
      <c r="C244" s="14" t="s">
        <v>945</v>
      </c>
      <c r="D244" s="14" t="s">
        <v>68</v>
      </c>
      <c r="E244" s="17">
        <v>72</v>
      </c>
      <c r="F244" s="15"/>
      <c r="G244" s="43"/>
      <c r="H244" s="43"/>
      <c r="I244" s="43"/>
      <c r="J244" s="43">
        <v>0</v>
      </c>
      <c r="K244" s="43" t="s">
        <v>1694</v>
      </c>
    </row>
    <row r="245" spans="1:11" x14ac:dyDescent="0.2">
      <c r="A245" s="249" t="s">
        <v>75</v>
      </c>
      <c r="B245" s="14" t="str">
        <f>Modeltabelle[[#This Row],[SAP Teile-bezeichnung]]</f>
        <v>VTG123G05</v>
      </c>
      <c r="C245" s="14" t="s">
        <v>501</v>
      </c>
      <c r="D245" s="14" t="s">
        <v>68</v>
      </c>
      <c r="E245" s="17">
        <v>123</v>
      </c>
      <c r="F245" s="15">
        <v>1100</v>
      </c>
      <c r="G245" s="19">
        <v>550</v>
      </c>
      <c r="H245" s="19">
        <v>230</v>
      </c>
      <c r="I245" s="19" t="s">
        <v>4</v>
      </c>
      <c r="J245" s="19">
        <f t="shared" si="28"/>
        <v>632.5</v>
      </c>
      <c r="K245" s="43" t="s">
        <v>1062</v>
      </c>
    </row>
    <row r="246" spans="1:11" x14ac:dyDescent="0.2">
      <c r="A246" s="249" t="s">
        <v>1410</v>
      </c>
      <c r="B246" s="14" t="str">
        <f>Modeltabelle[[#This Row],[SAP Teile-bezeichnung]]</f>
        <v>VTG123G03-1</v>
      </c>
      <c r="C246" s="14" t="s">
        <v>501</v>
      </c>
      <c r="D246" s="14" t="s">
        <v>68</v>
      </c>
      <c r="E246" s="17">
        <v>123</v>
      </c>
      <c r="F246" s="15">
        <v>1100</v>
      </c>
      <c r="G246" s="19">
        <v>550</v>
      </c>
      <c r="H246" s="19">
        <v>230</v>
      </c>
      <c r="I246" s="19" t="s">
        <v>4</v>
      </c>
      <c r="J246" s="19">
        <f t="shared" ref="J246" si="30">G246*1.15</f>
        <v>632.5</v>
      </c>
      <c r="K246" s="43" t="s">
        <v>450</v>
      </c>
    </row>
    <row r="247" spans="1:11" x14ac:dyDescent="0.2">
      <c r="A247" s="328" t="s">
        <v>912</v>
      </c>
      <c r="B247" s="14" t="s">
        <v>75</v>
      </c>
      <c r="C247" s="14" t="s">
        <v>501</v>
      </c>
      <c r="D247" s="14" t="s">
        <v>68</v>
      </c>
      <c r="E247" s="17">
        <v>123</v>
      </c>
      <c r="F247" s="15">
        <v>1100</v>
      </c>
      <c r="G247" s="19">
        <v>550</v>
      </c>
      <c r="H247" s="19">
        <v>230</v>
      </c>
      <c r="I247" s="19" t="s">
        <v>4</v>
      </c>
      <c r="J247" s="19">
        <f t="shared" si="28"/>
        <v>632.5</v>
      </c>
      <c r="K247" s="43" t="s">
        <v>1059</v>
      </c>
    </row>
    <row r="248" spans="1:11" x14ac:dyDescent="0.2">
      <c r="A248" s="328" t="s">
        <v>913</v>
      </c>
      <c r="B248" s="14" t="s">
        <v>75</v>
      </c>
      <c r="C248" s="14" t="s">
        <v>501</v>
      </c>
      <c r="D248" s="14" t="s">
        <v>68</v>
      </c>
      <c r="E248" s="17">
        <v>123</v>
      </c>
      <c r="F248" s="15">
        <v>1100</v>
      </c>
      <c r="G248" s="19">
        <v>550</v>
      </c>
      <c r="H248" s="19">
        <v>230</v>
      </c>
      <c r="I248" s="19" t="s">
        <v>4</v>
      </c>
      <c r="J248" s="19">
        <f t="shared" si="28"/>
        <v>632.5</v>
      </c>
      <c r="K248" s="43" t="s">
        <v>1060</v>
      </c>
    </row>
    <row r="249" spans="1:11" x14ac:dyDescent="0.2">
      <c r="A249" s="328" t="s">
        <v>914</v>
      </c>
      <c r="B249" s="14" t="s">
        <v>75</v>
      </c>
      <c r="C249" s="14" t="s">
        <v>501</v>
      </c>
      <c r="D249" s="14" t="s">
        <v>68</v>
      </c>
      <c r="E249" s="17">
        <v>123</v>
      </c>
      <c r="F249" s="15">
        <v>1100</v>
      </c>
      <c r="G249" s="19">
        <v>550</v>
      </c>
      <c r="H249" s="19">
        <v>230</v>
      </c>
      <c r="I249" s="19" t="s">
        <v>4</v>
      </c>
      <c r="J249" s="19">
        <f t="shared" si="28"/>
        <v>632.5</v>
      </c>
      <c r="K249" s="43" t="s">
        <v>1063</v>
      </c>
    </row>
    <row r="250" spans="1:11" x14ac:dyDescent="0.2">
      <c r="A250" s="328" t="s">
        <v>915</v>
      </c>
      <c r="B250" s="14" t="s">
        <v>75</v>
      </c>
      <c r="C250" s="14" t="s">
        <v>501</v>
      </c>
      <c r="D250" s="14" t="s">
        <v>68</v>
      </c>
      <c r="E250" s="17">
        <v>123</v>
      </c>
      <c r="F250" s="15">
        <v>1100</v>
      </c>
      <c r="G250" s="19">
        <v>550</v>
      </c>
      <c r="H250" s="19">
        <v>230</v>
      </c>
      <c r="I250" s="19" t="s">
        <v>4</v>
      </c>
      <c r="J250" s="19">
        <f t="shared" si="28"/>
        <v>632.5</v>
      </c>
      <c r="K250" s="43" t="s">
        <v>1061</v>
      </c>
    </row>
    <row r="251" spans="1:11" x14ac:dyDescent="0.2">
      <c r="A251" s="328" t="s">
        <v>916</v>
      </c>
      <c r="B251" s="14" t="s">
        <v>75</v>
      </c>
      <c r="C251" s="14" t="s">
        <v>501</v>
      </c>
      <c r="D251" s="14" t="s">
        <v>68</v>
      </c>
      <c r="E251" s="17">
        <v>123</v>
      </c>
      <c r="F251" s="15">
        <v>1100</v>
      </c>
      <c r="G251" s="19">
        <v>550</v>
      </c>
      <c r="H251" s="19">
        <v>230</v>
      </c>
      <c r="I251" s="19" t="s">
        <v>4</v>
      </c>
      <c r="J251" s="19">
        <f t="shared" si="28"/>
        <v>632.5</v>
      </c>
      <c r="K251" s="43" t="s">
        <v>1064</v>
      </c>
    </row>
    <row r="252" spans="1:11" x14ac:dyDescent="0.2">
      <c r="A252" s="249" t="s">
        <v>1352</v>
      </c>
      <c r="B252" s="14" t="str">
        <f>Modeltabelle[[#This Row],[SAP Teile-bezeichnung]]</f>
        <v>VTG145G03-1</v>
      </c>
      <c r="C252" s="14" t="s">
        <v>502</v>
      </c>
      <c r="D252" s="14" t="s">
        <v>68</v>
      </c>
      <c r="E252" s="17">
        <v>145</v>
      </c>
      <c r="F252" s="15">
        <v>1250</v>
      </c>
      <c r="G252" s="19">
        <v>650</v>
      </c>
      <c r="H252" s="19">
        <v>325</v>
      </c>
      <c r="I252" s="19" t="s">
        <v>4</v>
      </c>
      <c r="J252" s="19">
        <f t="shared" si="28"/>
        <v>747.49999999999989</v>
      </c>
      <c r="K252" s="43" t="s">
        <v>1066</v>
      </c>
    </row>
    <row r="253" spans="1:11" x14ac:dyDescent="0.2">
      <c r="A253" s="328" t="s">
        <v>917</v>
      </c>
      <c r="B253" s="14" t="s">
        <v>1352</v>
      </c>
      <c r="C253" s="14" t="s">
        <v>502</v>
      </c>
      <c r="D253" s="14" t="s">
        <v>68</v>
      </c>
      <c r="E253" s="17">
        <v>145</v>
      </c>
      <c r="F253" s="15">
        <v>1250</v>
      </c>
      <c r="G253" s="19">
        <v>650</v>
      </c>
      <c r="H253" s="19">
        <v>325</v>
      </c>
      <c r="I253" s="19" t="s">
        <v>4</v>
      </c>
      <c r="J253" s="19">
        <f t="shared" si="28"/>
        <v>747.49999999999989</v>
      </c>
      <c r="K253" s="43" t="s">
        <v>1067</v>
      </c>
    </row>
    <row r="254" spans="1:11" x14ac:dyDescent="0.2">
      <c r="A254" s="328" t="s">
        <v>918</v>
      </c>
      <c r="B254" s="14" t="s">
        <v>1352</v>
      </c>
      <c r="C254" s="14" t="s">
        <v>502</v>
      </c>
      <c r="D254" s="14" t="s">
        <v>68</v>
      </c>
      <c r="E254" s="17">
        <v>145</v>
      </c>
      <c r="F254" s="15">
        <v>1250</v>
      </c>
      <c r="G254" s="19">
        <v>650</v>
      </c>
      <c r="H254" s="19">
        <v>325</v>
      </c>
      <c r="I254" s="19" t="s">
        <v>4</v>
      </c>
      <c r="J254" s="19">
        <f t="shared" si="28"/>
        <v>747.49999999999989</v>
      </c>
      <c r="K254" s="43" t="s">
        <v>1068</v>
      </c>
    </row>
    <row r="255" spans="1:11" x14ac:dyDescent="0.2">
      <c r="A255" s="249" t="s">
        <v>165</v>
      </c>
      <c r="B255" s="14" t="str">
        <f>Modeltabelle[[#This Row],[SAP Teile-bezeichnung]]</f>
        <v>VTG145G05</v>
      </c>
      <c r="C255" s="14" t="s">
        <v>502</v>
      </c>
      <c r="D255" s="14" t="s">
        <v>68</v>
      </c>
      <c r="E255" s="17">
        <v>145</v>
      </c>
      <c r="F255" s="15">
        <v>1250</v>
      </c>
      <c r="G255" s="19">
        <v>650</v>
      </c>
      <c r="H255" s="19">
        <v>325</v>
      </c>
      <c r="I255" s="19" t="s">
        <v>4</v>
      </c>
      <c r="J255" s="19">
        <f t="shared" si="28"/>
        <v>747.49999999999989</v>
      </c>
      <c r="K255" s="43" t="s">
        <v>451</v>
      </c>
    </row>
    <row r="256" spans="1:11" x14ac:dyDescent="0.2">
      <c r="A256" s="328" t="s">
        <v>919</v>
      </c>
      <c r="B256" s="14" t="s">
        <v>1352</v>
      </c>
      <c r="C256" s="14" t="s">
        <v>502</v>
      </c>
      <c r="D256" s="14" t="s">
        <v>68</v>
      </c>
      <c r="E256" s="17">
        <v>145</v>
      </c>
      <c r="F256" s="15">
        <v>1250</v>
      </c>
      <c r="G256" s="19">
        <v>650</v>
      </c>
      <c r="H256" s="19">
        <v>325</v>
      </c>
      <c r="I256" s="19" t="s">
        <v>4</v>
      </c>
      <c r="J256" s="19">
        <f t="shared" si="28"/>
        <v>747.49999999999989</v>
      </c>
      <c r="K256" s="43" t="s">
        <v>1065</v>
      </c>
    </row>
    <row r="257" spans="1:11" x14ac:dyDescent="0.2">
      <c r="A257" s="249" t="s">
        <v>76</v>
      </c>
      <c r="B257" s="14" t="str">
        <f>Modeltabelle[[#This Row],[SAP Teile-bezeichnung]]</f>
        <v>VTG170G00</v>
      </c>
      <c r="C257" s="14" t="s">
        <v>503</v>
      </c>
      <c r="D257" s="14" t="s">
        <v>68</v>
      </c>
      <c r="E257" s="17">
        <v>170</v>
      </c>
      <c r="F257" s="15">
        <v>1500</v>
      </c>
      <c r="G257" s="19">
        <v>750</v>
      </c>
      <c r="H257" s="19"/>
      <c r="I257" s="19" t="s">
        <v>4</v>
      </c>
      <c r="J257" s="19">
        <f t="shared" si="28"/>
        <v>862.49999999999989</v>
      </c>
      <c r="K257" s="43" t="s">
        <v>452</v>
      </c>
    </row>
    <row r="258" spans="1:11" x14ac:dyDescent="0.2">
      <c r="A258" s="249" t="s">
        <v>1411</v>
      </c>
      <c r="B258" s="14" t="str">
        <f>Modeltabelle[[#This Row],[SAP Teile-bezeichnung]]</f>
        <v>VTG170G03-1</v>
      </c>
      <c r="C258" s="14" t="s">
        <v>503</v>
      </c>
      <c r="D258" s="14" t="s">
        <v>68</v>
      </c>
      <c r="E258" s="17">
        <v>170</v>
      </c>
      <c r="F258" s="15">
        <v>1500</v>
      </c>
      <c r="G258" s="19">
        <v>750</v>
      </c>
      <c r="H258" s="19"/>
      <c r="I258" s="19" t="s">
        <v>4</v>
      </c>
      <c r="J258" s="19">
        <f t="shared" si="28"/>
        <v>862.49999999999989</v>
      </c>
      <c r="K258" s="43" t="s">
        <v>1070</v>
      </c>
    </row>
    <row r="259" spans="1:11" x14ac:dyDescent="0.2">
      <c r="A259" s="249" t="s">
        <v>920</v>
      </c>
      <c r="B259" s="14" t="str">
        <f>Modeltabelle[[#This Row],[SAP Teile-bezeichnung]]</f>
        <v>VTG170G05</v>
      </c>
      <c r="C259" s="14" t="s">
        <v>503</v>
      </c>
      <c r="D259" s="14" t="s">
        <v>68</v>
      </c>
      <c r="E259" s="17">
        <v>170</v>
      </c>
      <c r="F259" s="15">
        <v>1500</v>
      </c>
      <c r="G259" s="19">
        <v>750</v>
      </c>
      <c r="H259" s="19"/>
      <c r="I259" s="19" t="s">
        <v>4</v>
      </c>
      <c r="J259" s="19">
        <f t="shared" si="28"/>
        <v>862.49999999999989</v>
      </c>
      <c r="K259" s="43" t="s">
        <v>1071</v>
      </c>
    </row>
    <row r="260" spans="1:11" x14ac:dyDescent="0.2">
      <c r="A260" s="328" t="s">
        <v>921</v>
      </c>
      <c r="B260" s="14" t="s">
        <v>920</v>
      </c>
      <c r="C260" s="14" t="s">
        <v>503</v>
      </c>
      <c r="D260" s="14" t="s">
        <v>68</v>
      </c>
      <c r="E260" s="17">
        <v>170</v>
      </c>
      <c r="F260" s="15">
        <v>1500</v>
      </c>
      <c r="G260" s="19">
        <v>750</v>
      </c>
      <c r="H260" s="19"/>
      <c r="I260" s="19" t="s">
        <v>4</v>
      </c>
      <c r="J260" s="19">
        <f t="shared" si="28"/>
        <v>862.49999999999989</v>
      </c>
      <c r="K260" s="43" t="s">
        <v>1069</v>
      </c>
    </row>
    <row r="261" spans="1:11" x14ac:dyDescent="0.2">
      <c r="A261" s="249" t="s">
        <v>837</v>
      </c>
      <c r="B261" s="14" t="str">
        <f>Modeltabelle[[#This Row],[SAP Teile-bezeichnung]]</f>
        <v>VTG245-01</v>
      </c>
      <c r="C261" s="14" t="s">
        <v>504</v>
      </c>
      <c r="D261" s="14" t="s">
        <v>68</v>
      </c>
      <c r="E261" s="17">
        <v>245</v>
      </c>
      <c r="F261" s="15"/>
      <c r="G261" s="19">
        <v>1050</v>
      </c>
      <c r="H261" s="19">
        <v>460</v>
      </c>
      <c r="I261" s="19" t="s">
        <v>4</v>
      </c>
      <c r="J261" s="19">
        <f t="shared" si="28"/>
        <v>1207.5</v>
      </c>
      <c r="K261" s="43" t="s">
        <v>504</v>
      </c>
    </row>
    <row r="262" spans="1:11" x14ac:dyDescent="0.2">
      <c r="A262" s="328" t="s">
        <v>838</v>
      </c>
      <c r="B262" s="14" t="s">
        <v>837</v>
      </c>
      <c r="C262" s="14" t="s">
        <v>504</v>
      </c>
      <c r="D262" s="14" t="s">
        <v>68</v>
      </c>
      <c r="E262" s="17">
        <v>245</v>
      </c>
      <c r="F262" s="15"/>
      <c r="G262" s="19">
        <v>1050</v>
      </c>
      <c r="H262" s="19">
        <v>460</v>
      </c>
      <c r="I262" s="19" t="s">
        <v>4</v>
      </c>
      <c r="J262" s="19">
        <f t="shared" si="28"/>
        <v>1207.5</v>
      </c>
      <c r="K262" s="43" t="s">
        <v>1072</v>
      </c>
    </row>
    <row r="263" spans="1:11" x14ac:dyDescent="0.2">
      <c r="A263" s="328" t="s">
        <v>1429</v>
      </c>
      <c r="B263" s="14" t="s">
        <v>837</v>
      </c>
      <c r="C263" s="14" t="s">
        <v>504</v>
      </c>
      <c r="D263" s="14" t="s">
        <v>68</v>
      </c>
      <c r="E263" s="17">
        <v>245</v>
      </c>
      <c r="F263" s="15"/>
      <c r="G263" s="19">
        <v>1050</v>
      </c>
      <c r="H263" s="19">
        <v>460</v>
      </c>
      <c r="I263" s="19" t="s">
        <v>4</v>
      </c>
      <c r="J263" s="19">
        <f t="shared" ref="J263" si="31">G263*1.15</f>
        <v>1207.5</v>
      </c>
      <c r="K263" s="43" t="s">
        <v>1430</v>
      </c>
    </row>
    <row r="264" spans="1:11" x14ac:dyDescent="0.2">
      <c r="A264" s="328" t="s">
        <v>839</v>
      </c>
      <c r="B264" s="14" t="s">
        <v>83</v>
      </c>
      <c r="C264" s="14" t="s">
        <v>504</v>
      </c>
      <c r="D264" s="14" t="s">
        <v>68</v>
      </c>
      <c r="E264" s="17">
        <v>245</v>
      </c>
      <c r="F264" s="15"/>
      <c r="G264" s="19">
        <v>1050</v>
      </c>
      <c r="H264" s="19">
        <v>460</v>
      </c>
      <c r="I264" s="19" t="s">
        <v>4</v>
      </c>
      <c r="J264" s="19">
        <f t="shared" si="28"/>
        <v>1207.5</v>
      </c>
      <c r="K264" s="43" t="s">
        <v>1075</v>
      </c>
    </row>
    <row r="265" spans="1:11" x14ac:dyDescent="0.2">
      <c r="A265" s="328" t="s">
        <v>840</v>
      </c>
      <c r="B265" s="14" t="s">
        <v>83</v>
      </c>
      <c r="C265" s="14" t="s">
        <v>504</v>
      </c>
      <c r="D265" s="14" t="s">
        <v>68</v>
      </c>
      <c r="E265" s="17">
        <v>245</v>
      </c>
      <c r="F265" s="15"/>
      <c r="G265" s="19">
        <v>1050</v>
      </c>
      <c r="H265" s="19">
        <v>460</v>
      </c>
      <c r="I265" s="19" t="s">
        <v>4</v>
      </c>
      <c r="J265" s="19">
        <f t="shared" si="28"/>
        <v>1207.5</v>
      </c>
      <c r="K265" s="43" t="s">
        <v>1074</v>
      </c>
    </row>
    <row r="266" spans="1:11" x14ac:dyDescent="0.2">
      <c r="A266" s="328" t="s">
        <v>841</v>
      </c>
      <c r="B266" s="14" t="s">
        <v>83</v>
      </c>
      <c r="C266" s="14" t="s">
        <v>504</v>
      </c>
      <c r="D266" s="14" t="s">
        <v>68</v>
      </c>
      <c r="E266" s="17">
        <v>245</v>
      </c>
      <c r="F266" s="15"/>
      <c r="G266" s="19">
        <v>1050</v>
      </c>
      <c r="H266" s="19">
        <v>460</v>
      </c>
      <c r="I266" s="19" t="s">
        <v>4</v>
      </c>
      <c r="J266" s="19">
        <f t="shared" si="28"/>
        <v>1207.5</v>
      </c>
      <c r="K266" s="43" t="s">
        <v>1073</v>
      </c>
    </row>
    <row r="267" spans="1:11" x14ac:dyDescent="0.2">
      <c r="A267" s="328" t="s">
        <v>1516</v>
      </c>
      <c r="B267" s="14" t="s">
        <v>83</v>
      </c>
      <c r="C267" s="14" t="s">
        <v>1520</v>
      </c>
      <c r="D267" s="14" t="s">
        <v>68</v>
      </c>
      <c r="E267" s="17" t="s">
        <v>1517</v>
      </c>
      <c r="F267" s="15"/>
      <c r="G267" s="19">
        <v>1050</v>
      </c>
      <c r="H267" s="19">
        <v>460</v>
      </c>
      <c r="I267" s="43" t="s">
        <v>1521</v>
      </c>
      <c r="J267" s="43">
        <f>G267*1.15</f>
        <v>1207.5</v>
      </c>
      <c r="K267" s="43" t="s">
        <v>1520</v>
      </c>
    </row>
    <row r="268" spans="1:11" x14ac:dyDescent="0.2">
      <c r="A268" s="249" t="s">
        <v>842</v>
      </c>
      <c r="B268" s="14" t="str">
        <f>Modeltabelle[[#This Row],[SAP Teile-bezeichnung]]</f>
        <v>VTG362-01</v>
      </c>
      <c r="C268" s="14" t="s">
        <v>505</v>
      </c>
      <c r="D268" s="14" t="s">
        <v>68</v>
      </c>
      <c r="E268" s="17">
        <v>362</v>
      </c>
      <c r="F268" s="15"/>
      <c r="G268" s="19">
        <v>1175</v>
      </c>
      <c r="H268" s="19">
        <v>460</v>
      </c>
      <c r="I268" s="19">
        <v>950</v>
      </c>
      <c r="J268" s="19">
        <f t="shared" si="28"/>
        <v>1351.25</v>
      </c>
      <c r="K268" s="43" t="s">
        <v>505</v>
      </c>
    </row>
    <row r="269" spans="1:11" x14ac:dyDescent="0.2">
      <c r="A269" s="249" t="s">
        <v>99</v>
      </c>
      <c r="B269" s="14" t="str">
        <f>Modeltabelle[[#This Row],[SAP Teile-bezeichnung]]</f>
        <v>VTG362G05-1</v>
      </c>
      <c r="C269" s="14" t="s">
        <v>505</v>
      </c>
      <c r="D269" s="14" t="s">
        <v>68</v>
      </c>
      <c r="E269" s="17">
        <v>362</v>
      </c>
      <c r="F269" s="15"/>
      <c r="G269" s="19">
        <v>1175</v>
      </c>
      <c r="H269" s="19">
        <v>460</v>
      </c>
      <c r="I269" s="19">
        <v>950</v>
      </c>
      <c r="J269" s="19">
        <f t="shared" si="28"/>
        <v>1351.25</v>
      </c>
      <c r="K269" s="43" t="s">
        <v>1076</v>
      </c>
    </row>
    <row r="270" spans="1:11" x14ac:dyDescent="0.2">
      <c r="A270" s="249" t="s">
        <v>843</v>
      </c>
      <c r="B270" s="14" t="str">
        <f>Modeltabelle[[#This Row],[SAP Teile-bezeichnung]]</f>
        <v>VTG420-01</v>
      </c>
      <c r="C270" s="14" t="s">
        <v>506</v>
      </c>
      <c r="D270" s="14" t="s">
        <v>68</v>
      </c>
      <c r="E270" s="17">
        <v>420</v>
      </c>
      <c r="F270" s="15"/>
      <c r="G270" s="19">
        <v>1425</v>
      </c>
      <c r="H270" s="19">
        <v>630</v>
      </c>
      <c r="I270" s="19">
        <v>1050</v>
      </c>
      <c r="J270" s="19">
        <f t="shared" si="28"/>
        <v>1638.7499999999998</v>
      </c>
      <c r="K270" s="43" t="s">
        <v>506</v>
      </c>
    </row>
    <row r="271" spans="1:11" x14ac:dyDescent="0.2">
      <c r="A271" s="328" t="s">
        <v>1486</v>
      </c>
      <c r="B271" s="14" t="str">
        <f>Modeltabelle[[#This Row],[SAP Teile-bezeichnung]]</f>
        <v>VTG420-01-001</v>
      </c>
      <c r="C271" s="14" t="s">
        <v>506</v>
      </c>
      <c r="D271" s="14" t="s">
        <v>68</v>
      </c>
      <c r="E271" s="17">
        <v>420</v>
      </c>
      <c r="F271" s="15"/>
      <c r="G271" s="19">
        <v>1425</v>
      </c>
      <c r="H271" s="19">
        <v>630</v>
      </c>
      <c r="I271" s="19">
        <v>1050</v>
      </c>
      <c r="J271" s="19">
        <f t="shared" ref="J271:J273" si="32">G271*1.15</f>
        <v>1638.7499999999998</v>
      </c>
      <c r="K271" s="43" t="s">
        <v>1485</v>
      </c>
    </row>
    <row r="272" spans="1:11" x14ac:dyDescent="0.2">
      <c r="A272" s="328" t="s">
        <v>1487</v>
      </c>
      <c r="B272" s="14" t="str">
        <f>Modeltabelle[[#This Row],[SAP Teile-bezeichnung]]</f>
        <v>VTG420-01-002</v>
      </c>
      <c r="C272" s="14" t="s">
        <v>506</v>
      </c>
      <c r="D272" s="14" t="s">
        <v>68</v>
      </c>
      <c r="E272" s="17">
        <v>420</v>
      </c>
      <c r="F272" s="15"/>
      <c r="G272" s="19">
        <v>1425</v>
      </c>
      <c r="H272" s="19">
        <v>630</v>
      </c>
      <c r="I272" s="19">
        <v>1050</v>
      </c>
      <c r="J272" s="19">
        <f t="shared" si="32"/>
        <v>1638.7499999999998</v>
      </c>
      <c r="K272" s="43" t="s">
        <v>1484</v>
      </c>
    </row>
    <row r="273" spans="1:11" x14ac:dyDescent="0.2">
      <c r="A273" s="328" t="s">
        <v>1488</v>
      </c>
      <c r="B273" s="14" t="str">
        <f>Modeltabelle[[#This Row],[SAP Teile-bezeichnung]]</f>
        <v>VTG420-01-003</v>
      </c>
      <c r="C273" s="14" t="s">
        <v>506</v>
      </c>
      <c r="D273" s="14" t="s">
        <v>68</v>
      </c>
      <c r="E273" s="17">
        <v>420</v>
      </c>
      <c r="F273" s="15"/>
      <c r="G273" s="19">
        <v>1425</v>
      </c>
      <c r="H273" s="19">
        <v>630</v>
      </c>
      <c r="I273" s="19">
        <v>1050</v>
      </c>
      <c r="J273" s="19">
        <f t="shared" si="32"/>
        <v>1638.7499999999998</v>
      </c>
      <c r="K273" s="43" t="s">
        <v>1483</v>
      </c>
    </row>
    <row r="274" spans="1:11" x14ac:dyDescent="0.2">
      <c r="A274" s="328" t="s">
        <v>844</v>
      </c>
      <c r="B274" s="14" t="s">
        <v>115</v>
      </c>
      <c r="C274" s="14" t="s">
        <v>506</v>
      </c>
      <c r="D274" s="14" t="s">
        <v>68</v>
      </c>
      <c r="E274" s="17">
        <v>420</v>
      </c>
      <c r="F274" s="15"/>
      <c r="G274" s="19">
        <v>1425</v>
      </c>
      <c r="H274" s="19">
        <v>630</v>
      </c>
      <c r="I274" s="19">
        <v>1050</v>
      </c>
      <c r="J274" s="19">
        <f t="shared" si="28"/>
        <v>1638.7499999999998</v>
      </c>
      <c r="K274" s="43" t="s">
        <v>1084</v>
      </c>
    </row>
    <row r="275" spans="1:11" x14ac:dyDescent="0.2">
      <c r="A275" s="328" t="s">
        <v>845</v>
      </c>
      <c r="B275" s="14" t="s">
        <v>115</v>
      </c>
      <c r="C275" s="14" t="s">
        <v>506</v>
      </c>
      <c r="D275" s="14" t="s">
        <v>68</v>
      </c>
      <c r="E275" s="17">
        <v>420</v>
      </c>
      <c r="F275" s="15"/>
      <c r="G275" s="19">
        <v>1425</v>
      </c>
      <c r="H275" s="19">
        <v>630</v>
      </c>
      <c r="I275" s="19">
        <v>1050</v>
      </c>
      <c r="J275" s="19">
        <f t="shared" si="28"/>
        <v>1638.7499999999998</v>
      </c>
      <c r="K275" s="43" t="s">
        <v>1085</v>
      </c>
    </row>
    <row r="276" spans="1:11" x14ac:dyDescent="0.2">
      <c r="A276" s="328" t="s">
        <v>846</v>
      </c>
      <c r="B276" s="14" t="s">
        <v>115</v>
      </c>
      <c r="C276" s="14" t="s">
        <v>506</v>
      </c>
      <c r="D276" s="14" t="s">
        <v>68</v>
      </c>
      <c r="E276" s="17">
        <v>420</v>
      </c>
      <c r="F276" s="15"/>
      <c r="G276" s="19">
        <v>1425</v>
      </c>
      <c r="H276" s="19">
        <v>630</v>
      </c>
      <c r="I276" s="19">
        <v>1050</v>
      </c>
      <c r="J276" s="19">
        <f t="shared" si="28"/>
        <v>1638.7499999999998</v>
      </c>
      <c r="K276" s="43" t="s">
        <v>1083</v>
      </c>
    </row>
    <row r="277" spans="1:11" x14ac:dyDescent="0.2">
      <c r="A277" s="328" t="s">
        <v>847</v>
      </c>
      <c r="B277" s="14" t="s">
        <v>115</v>
      </c>
      <c r="C277" s="14" t="s">
        <v>506</v>
      </c>
      <c r="D277" s="14" t="s">
        <v>68</v>
      </c>
      <c r="E277" s="17">
        <v>420</v>
      </c>
      <c r="F277" s="15"/>
      <c r="G277" s="19">
        <v>1425</v>
      </c>
      <c r="H277" s="19">
        <v>630</v>
      </c>
      <c r="I277" s="19">
        <v>1050</v>
      </c>
      <c r="J277" s="19">
        <f t="shared" si="28"/>
        <v>1638.7499999999998</v>
      </c>
      <c r="K277" s="43" t="s">
        <v>1079</v>
      </c>
    </row>
    <row r="278" spans="1:11" x14ac:dyDescent="0.2">
      <c r="A278" s="328" t="s">
        <v>848</v>
      </c>
      <c r="B278" s="14" t="s">
        <v>115</v>
      </c>
      <c r="C278" s="14" t="s">
        <v>506</v>
      </c>
      <c r="D278" s="14" t="s">
        <v>68</v>
      </c>
      <c r="E278" s="17">
        <v>420</v>
      </c>
      <c r="F278" s="15"/>
      <c r="G278" s="19">
        <v>1425</v>
      </c>
      <c r="H278" s="19">
        <v>630</v>
      </c>
      <c r="I278" s="19">
        <v>1050</v>
      </c>
      <c r="J278" s="19">
        <f t="shared" si="28"/>
        <v>1638.7499999999998</v>
      </c>
      <c r="K278" s="43" t="s">
        <v>1080</v>
      </c>
    </row>
    <row r="279" spans="1:11" x14ac:dyDescent="0.2">
      <c r="A279" s="328" t="s">
        <v>849</v>
      </c>
      <c r="B279" s="14" t="s">
        <v>115</v>
      </c>
      <c r="C279" s="14" t="s">
        <v>506</v>
      </c>
      <c r="D279" s="14" t="s">
        <v>68</v>
      </c>
      <c r="E279" s="17">
        <v>420</v>
      </c>
      <c r="F279" s="15"/>
      <c r="G279" s="19">
        <v>1425</v>
      </c>
      <c r="H279" s="19">
        <v>630</v>
      </c>
      <c r="I279" s="19">
        <v>1050</v>
      </c>
      <c r="J279" s="19">
        <f t="shared" si="28"/>
        <v>1638.7499999999998</v>
      </c>
      <c r="K279" s="43" t="s">
        <v>1081</v>
      </c>
    </row>
    <row r="280" spans="1:11" x14ac:dyDescent="0.2">
      <c r="A280" s="328" t="s">
        <v>850</v>
      </c>
      <c r="B280" s="14" t="s">
        <v>115</v>
      </c>
      <c r="C280" s="14" t="s">
        <v>506</v>
      </c>
      <c r="D280" s="14" t="s">
        <v>68</v>
      </c>
      <c r="E280" s="17">
        <v>420</v>
      </c>
      <c r="F280" s="15"/>
      <c r="G280" s="19">
        <v>1425</v>
      </c>
      <c r="H280" s="19">
        <v>630</v>
      </c>
      <c r="I280" s="19">
        <v>1050</v>
      </c>
      <c r="J280" s="19">
        <f t="shared" ref="J280:J321" si="33">G280*1.15</f>
        <v>1638.7499999999998</v>
      </c>
      <c r="K280" s="43" t="s">
        <v>1082</v>
      </c>
    </row>
    <row r="281" spans="1:11" x14ac:dyDescent="0.2">
      <c r="A281" s="249" t="s">
        <v>114</v>
      </c>
      <c r="B281" s="14" t="str">
        <f>Modeltabelle[[#This Row],[SAP Teile-bezeichnung]]</f>
        <v>VTG420G05-1</v>
      </c>
      <c r="C281" s="14" t="s">
        <v>506</v>
      </c>
      <c r="D281" s="14" t="s">
        <v>68</v>
      </c>
      <c r="E281" s="17">
        <v>420</v>
      </c>
      <c r="F281" s="15"/>
      <c r="G281" s="19">
        <v>1425</v>
      </c>
      <c r="H281" s="19">
        <v>630</v>
      </c>
      <c r="I281" s="19">
        <v>1050</v>
      </c>
      <c r="J281" s="19">
        <f t="shared" si="33"/>
        <v>1638.7499999999998</v>
      </c>
      <c r="K281" s="43" t="s">
        <v>1077</v>
      </c>
    </row>
    <row r="282" spans="1:11" x14ac:dyDescent="0.2">
      <c r="A282" s="249" t="s">
        <v>115</v>
      </c>
      <c r="B282" s="14" t="str">
        <f>Modeltabelle[[#This Row],[SAP Teile-bezeichnung]]</f>
        <v>VTG420G05-2</v>
      </c>
      <c r="C282" s="14" t="s">
        <v>506</v>
      </c>
      <c r="D282" s="14" t="s">
        <v>68</v>
      </c>
      <c r="E282" s="17">
        <v>420</v>
      </c>
      <c r="F282" s="15"/>
      <c r="G282" s="19">
        <v>1425</v>
      </c>
      <c r="H282" s="19">
        <v>630</v>
      </c>
      <c r="I282" s="19">
        <v>1050</v>
      </c>
      <c r="J282" s="19">
        <f t="shared" si="33"/>
        <v>1638.7499999999998</v>
      </c>
      <c r="K282" s="43" t="s">
        <v>1078</v>
      </c>
    </row>
    <row r="283" spans="1:11" x14ac:dyDescent="0.2">
      <c r="A283" s="328" t="s">
        <v>851</v>
      </c>
      <c r="B283" s="14" t="s">
        <v>116</v>
      </c>
      <c r="C283" s="14" t="s">
        <v>506</v>
      </c>
      <c r="D283" s="14" t="s">
        <v>68</v>
      </c>
      <c r="E283" s="17">
        <v>420</v>
      </c>
      <c r="F283" s="15"/>
      <c r="G283" s="19">
        <v>1425</v>
      </c>
      <c r="H283" s="19">
        <v>630</v>
      </c>
      <c r="I283" s="19">
        <v>1050</v>
      </c>
      <c r="J283" s="19">
        <f t="shared" si="33"/>
        <v>1638.7499999999998</v>
      </c>
      <c r="K283" s="43" t="s">
        <v>1086</v>
      </c>
    </row>
    <row r="284" spans="1:11" x14ac:dyDescent="0.2">
      <c r="A284" s="249" t="s">
        <v>122</v>
      </c>
      <c r="B284" s="14" t="str">
        <f>Modeltabelle[[#This Row],[SAP Teile-bezeichnung]]</f>
        <v>VTG550G01</v>
      </c>
      <c r="C284" s="14" t="s">
        <v>507</v>
      </c>
      <c r="D284" s="14" t="s">
        <v>68</v>
      </c>
      <c r="E284" s="17">
        <v>550</v>
      </c>
      <c r="F284" s="15"/>
      <c r="G284" s="19">
        <v>1550</v>
      </c>
      <c r="H284" s="19">
        <v>680</v>
      </c>
      <c r="I284" s="19">
        <v>1175</v>
      </c>
      <c r="J284" s="19">
        <f t="shared" si="33"/>
        <v>1782.4999999999998</v>
      </c>
      <c r="K284" s="43" t="s">
        <v>1087</v>
      </c>
    </row>
    <row r="285" spans="1:11" x14ac:dyDescent="0.2">
      <c r="A285" s="249" t="s">
        <v>123</v>
      </c>
      <c r="B285" s="14" t="str">
        <f>Modeltabelle[[#This Row],[SAP Teile-bezeichnung]]</f>
        <v>VTG550G05-1</v>
      </c>
      <c r="C285" s="14" t="s">
        <v>507</v>
      </c>
      <c r="D285" s="14" t="s">
        <v>68</v>
      </c>
      <c r="E285" s="17">
        <v>550</v>
      </c>
      <c r="F285" s="15"/>
      <c r="G285" s="19">
        <v>1550</v>
      </c>
      <c r="H285" s="19">
        <v>680</v>
      </c>
      <c r="I285" s="19">
        <v>1175</v>
      </c>
      <c r="J285" s="19">
        <f t="shared" si="33"/>
        <v>1782.4999999999998</v>
      </c>
      <c r="K285" s="43" t="s">
        <v>1088</v>
      </c>
    </row>
    <row r="286" spans="1:11" x14ac:dyDescent="0.2">
      <c r="A286" s="249" t="s">
        <v>172</v>
      </c>
      <c r="B286" s="14" t="str">
        <f>Modeltabelle[[#This Row],[SAP Teile-bezeichnung]]</f>
        <v>VTG550G05-2</v>
      </c>
      <c r="C286" s="14" t="s">
        <v>507</v>
      </c>
      <c r="D286" s="14" t="s">
        <v>68</v>
      </c>
      <c r="E286" s="17">
        <v>550</v>
      </c>
      <c r="F286" s="15"/>
      <c r="G286" s="19">
        <v>1550</v>
      </c>
      <c r="H286" s="19">
        <v>680</v>
      </c>
      <c r="I286" s="19">
        <v>1175</v>
      </c>
      <c r="J286" s="19">
        <f t="shared" si="33"/>
        <v>1782.4999999999998</v>
      </c>
      <c r="K286" s="43" t="s">
        <v>453</v>
      </c>
    </row>
    <row r="287" spans="1:11" x14ac:dyDescent="0.2">
      <c r="A287" s="249" t="s">
        <v>136</v>
      </c>
      <c r="B287" s="14" t="str">
        <f>Modeltabelle[[#This Row],[SAP Teile-bezeichnung]]</f>
        <v>VTG800G01</v>
      </c>
      <c r="C287" s="14" t="s">
        <v>508</v>
      </c>
      <c r="D287" s="14" t="s">
        <v>68</v>
      </c>
      <c r="E287" s="17">
        <v>800</v>
      </c>
      <c r="F287" s="15"/>
      <c r="G287" s="19">
        <v>2100</v>
      </c>
      <c r="H287" s="42" t="s">
        <v>4</v>
      </c>
      <c r="I287" s="19">
        <v>1550</v>
      </c>
      <c r="J287" s="19">
        <f t="shared" si="33"/>
        <v>2415</v>
      </c>
      <c r="K287" s="43" t="s">
        <v>454</v>
      </c>
    </row>
    <row r="288" spans="1:11" x14ac:dyDescent="0.2">
      <c r="A288" s="328" t="s">
        <v>791</v>
      </c>
      <c r="B288" s="14" t="s">
        <v>136</v>
      </c>
      <c r="C288" s="14" t="s">
        <v>508</v>
      </c>
      <c r="D288" s="14" t="s">
        <v>68</v>
      </c>
      <c r="E288" s="17">
        <v>800</v>
      </c>
      <c r="F288" s="15"/>
      <c r="G288" s="19">
        <v>2100</v>
      </c>
      <c r="H288" s="42" t="s">
        <v>4</v>
      </c>
      <c r="I288" s="19">
        <v>1550</v>
      </c>
      <c r="J288" s="19">
        <f t="shared" si="33"/>
        <v>2415</v>
      </c>
      <c r="K288" s="43" t="s">
        <v>1090</v>
      </c>
    </row>
    <row r="289" spans="1:11" x14ac:dyDescent="0.2">
      <c r="A289" s="328" t="s">
        <v>792</v>
      </c>
      <c r="B289" s="14" t="s">
        <v>136</v>
      </c>
      <c r="C289" s="14" t="s">
        <v>508</v>
      </c>
      <c r="D289" s="14" t="s">
        <v>68</v>
      </c>
      <c r="E289" s="17">
        <v>800</v>
      </c>
      <c r="F289" s="15"/>
      <c r="G289" s="19">
        <v>2100</v>
      </c>
      <c r="H289" s="42" t="s">
        <v>4</v>
      </c>
      <c r="I289" s="19">
        <v>1550</v>
      </c>
      <c r="J289" s="19">
        <f t="shared" si="33"/>
        <v>2415</v>
      </c>
      <c r="K289" s="43" t="s">
        <v>1091</v>
      </c>
    </row>
    <row r="290" spans="1:11" x14ac:dyDescent="0.2">
      <c r="A290" s="249" t="s">
        <v>1640</v>
      </c>
      <c r="B290" s="14" t="str">
        <f>Modeltabelle[[#This Row],[SAP Teile-bezeichnung]]</f>
        <v>VTP072-025-02</v>
      </c>
      <c r="C290" s="14" t="s">
        <v>946</v>
      </c>
      <c r="D290" s="14" t="s">
        <v>61</v>
      </c>
      <c r="E290" s="17">
        <v>72.5</v>
      </c>
      <c r="F290" s="15">
        <v>700</v>
      </c>
      <c r="G290" s="19">
        <v>325</v>
      </c>
      <c r="H290" s="19"/>
      <c r="I290" s="19" t="s">
        <v>4</v>
      </c>
      <c r="J290" s="19">
        <f t="shared" ref="J290:J292" si="34">G290*1.15</f>
        <v>373.74999999999994</v>
      </c>
      <c r="K290" s="43" t="s">
        <v>1616</v>
      </c>
    </row>
    <row r="291" spans="1:11" x14ac:dyDescent="0.2">
      <c r="A291" s="249" t="s">
        <v>922</v>
      </c>
      <c r="B291" s="14" t="str">
        <f>Modeltabelle[[#This Row],[SAP Teile-bezeichnung]]</f>
        <v>VTP072-050-01</v>
      </c>
      <c r="C291" s="14" t="s">
        <v>946</v>
      </c>
      <c r="D291" s="14" t="s">
        <v>61</v>
      </c>
      <c r="E291" s="17">
        <v>72.5</v>
      </c>
      <c r="F291" s="15">
        <v>700</v>
      </c>
      <c r="G291" s="19">
        <v>325</v>
      </c>
      <c r="H291" s="19"/>
      <c r="I291" s="19" t="s">
        <v>4</v>
      </c>
      <c r="J291" s="19">
        <f t="shared" si="34"/>
        <v>373.74999999999994</v>
      </c>
      <c r="K291" s="43" t="s">
        <v>1617</v>
      </c>
    </row>
    <row r="292" spans="1:11" x14ac:dyDescent="0.2">
      <c r="A292" s="249" t="s">
        <v>950</v>
      </c>
      <c r="B292" s="14" t="str">
        <f>Modeltabelle[[#This Row],[SAP Teile-bezeichnung]]</f>
        <v>VTP072-100-01</v>
      </c>
      <c r="C292" s="14" t="s">
        <v>946</v>
      </c>
      <c r="D292" s="14" t="s">
        <v>61</v>
      </c>
      <c r="E292" s="17">
        <v>72.5</v>
      </c>
      <c r="F292" s="15">
        <v>700</v>
      </c>
      <c r="G292" s="19">
        <v>325</v>
      </c>
      <c r="H292" s="19"/>
      <c r="I292" s="19" t="s">
        <v>4</v>
      </c>
      <c r="J292" s="19">
        <f t="shared" si="34"/>
        <v>373.74999999999994</v>
      </c>
      <c r="K292" s="43" t="s">
        <v>1618</v>
      </c>
    </row>
    <row r="293" spans="1:11" x14ac:dyDescent="0.2">
      <c r="A293" s="249" t="s">
        <v>951</v>
      </c>
      <c r="B293" s="14" t="str">
        <f>Modeltabelle[[#This Row],[SAP Teile-bezeichnung]]</f>
        <v>VTP072-125-01</v>
      </c>
      <c r="C293" s="14" t="s">
        <v>946</v>
      </c>
      <c r="D293" s="14" t="s">
        <v>61</v>
      </c>
      <c r="E293" s="17">
        <v>72.5</v>
      </c>
      <c r="F293" s="15">
        <v>700</v>
      </c>
      <c r="G293" s="19">
        <v>325</v>
      </c>
      <c r="H293" s="19"/>
      <c r="I293" s="19" t="s">
        <v>4</v>
      </c>
      <c r="J293" s="19">
        <f t="shared" si="33"/>
        <v>373.74999999999994</v>
      </c>
      <c r="K293" s="43" t="s">
        <v>1619</v>
      </c>
    </row>
    <row r="294" spans="1:11" x14ac:dyDescent="0.2">
      <c r="A294" s="249" t="s">
        <v>923</v>
      </c>
      <c r="B294" s="14" t="str">
        <f>Modeltabelle[[#This Row],[SAP Teile-bezeichnung]]</f>
        <v>VTP123-025-02</v>
      </c>
      <c r="C294" s="14" t="s">
        <v>949</v>
      </c>
      <c r="D294" s="14" t="s">
        <v>61</v>
      </c>
      <c r="E294" s="17">
        <v>123</v>
      </c>
      <c r="F294" s="15"/>
      <c r="G294" s="43">
        <v>550</v>
      </c>
      <c r="H294" s="43"/>
      <c r="I294" s="43"/>
      <c r="J294" s="43">
        <f t="shared" si="33"/>
        <v>632.5</v>
      </c>
      <c r="K294" s="43" t="s">
        <v>990</v>
      </c>
    </row>
    <row r="295" spans="1:11" x14ac:dyDescent="0.2">
      <c r="A295" s="249" t="s">
        <v>1608</v>
      </c>
      <c r="B295" s="14" t="str">
        <f>Modeltabelle[[#This Row],[SAP Teile-bezeichnung]]</f>
        <v>VTP123-050-01</v>
      </c>
      <c r="C295" s="14" t="s">
        <v>949</v>
      </c>
      <c r="D295" s="14" t="s">
        <v>61</v>
      </c>
      <c r="E295" s="17">
        <v>123</v>
      </c>
      <c r="F295" s="15"/>
      <c r="G295" s="43">
        <v>550</v>
      </c>
      <c r="H295" s="43"/>
      <c r="I295" s="43"/>
      <c r="J295" s="43">
        <f t="shared" ref="J295:J298" si="35">G295*1.15</f>
        <v>632.5</v>
      </c>
      <c r="K295" s="43" t="s">
        <v>1612</v>
      </c>
    </row>
    <row r="296" spans="1:11" x14ac:dyDescent="0.2">
      <c r="A296" s="249" t="s">
        <v>1609</v>
      </c>
      <c r="B296" s="14" t="str">
        <f>Modeltabelle[[#This Row],[SAP Teile-bezeichnung]]</f>
        <v>VTP123-100-01</v>
      </c>
      <c r="C296" s="14" t="s">
        <v>949</v>
      </c>
      <c r="D296" s="14" t="s">
        <v>61</v>
      </c>
      <c r="E296" s="17">
        <v>123</v>
      </c>
      <c r="F296" s="15"/>
      <c r="G296" s="43">
        <v>550</v>
      </c>
      <c r="H296" s="43"/>
      <c r="I296" s="43"/>
      <c r="J296" s="43">
        <f t="shared" si="35"/>
        <v>632.5</v>
      </c>
      <c r="K296" s="43" t="s">
        <v>1613</v>
      </c>
    </row>
    <row r="297" spans="1:11" x14ac:dyDescent="0.2">
      <c r="A297" s="249" t="s">
        <v>1610</v>
      </c>
      <c r="B297" s="14" t="str">
        <f>Modeltabelle[[#This Row],[SAP Teile-bezeichnung]]</f>
        <v>VTP123-125-01</v>
      </c>
      <c r="C297" s="14" t="s">
        <v>949</v>
      </c>
      <c r="D297" s="14" t="s">
        <v>61</v>
      </c>
      <c r="E297" s="17">
        <v>123</v>
      </c>
      <c r="F297" s="15"/>
      <c r="G297" s="43">
        <v>550</v>
      </c>
      <c r="H297" s="43"/>
      <c r="I297" s="43"/>
      <c r="J297" s="43">
        <f t="shared" si="35"/>
        <v>632.5</v>
      </c>
      <c r="K297" s="43" t="s">
        <v>1614</v>
      </c>
    </row>
    <row r="298" spans="1:11" x14ac:dyDescent="0.2">
      <c r="A298" s="249" t="s">
        <v>1611</v>
      </c>
      <c r="B298" s="14" t="str">
        <f>Modeltabelle[[#This Row],[SAP Teile-bezeichnung]]</f>
        <v>VTP123-167-01</v>
      </c>
      <c r="C298" s="14" t="s">
        <v>949</v>
      </c>
      <c r="D298" s="14" t="s">
        <v>61</v>
      </c>
      <c r="E298" s="17">
        <v>123</v>
      </c>
      <c r="F298" s="15"/>
      <c r="G298" s="43">
        <v>550</v>
      </c>
      <c r="H298" s="43"/>
      <c r="I298" s="43"/>
      <c r="J298" s="43">
        <f t="shared" si="35"/>
        <v>632.5</v>
      </c>
      <c r="K298" s="43" t="s">
        <v>1615</v>
      </c>
    </row>
    <row r="299" spans="1:11" x14ac:dyDescent="0.2">
      <c r="A299" s="249" t="s">
        <v>924</v>
      </c>
      <c r="B299" s="14" t="str">
        <f>Modeltabelle[[#This Row],[SAP Teile-bezeichnung]]</f>
        <v>VTP145-025-02</v>
      </c>
      <c r="C299" s="14" t="s">
        <v>947</v>
      </c>
      <c r="D299" s="14" t="s">
        <v>61</v>
      </c>
      <c r="E299" s="17">
        <v>145</v>
      </c>
      <c r="F299" s="15">
        <v>1250</v>
      </c>
      <c r="G299" s="19">
        <v>650</v>
      </c>
      <c r="H299" s="19"/>
      <c r="I299" s="19" t="s">
        <v>4</v>
      </c>
      <c r="J299" s="19">
        <f t="shared" si="33"/>
        <v>747.49999999999989</v>
      </c>
      <c r="K299" s="43" t="s">
        <v>991</v>
      </c>
    </row>
    <row r="300" spans="1:11" x14ac:dyDescent="0.2">
      <c r="A300" s="249" t="s">
        <v>925</v>
      </c>
      <c r="B300" s="14" t="str">
        <f>Modeltabelle[[#This Row],[SAP Teile-bezeichnung]]</f>
        <v>VTP145-050-01</v>
      </c>
      <c r="C300" s="14" t="s">
        <v>947</v>
      </c>
      <c r="D300" s="14" t="s">
        <v>61</v>
      </c>
      <c r="E300" s="17">
        <v>145</v>
      </c>
      <c r="F300" s="15">
        <v>1250</v>
      </c>
      <c r="G300" s="19">
        <v>650</v>
      </c>
      <c r="H300" s="19"/>
      <c r="I300" s="19" t="s">
        <v>4</v>
      </c>
      <c r="J300" s="19">
        <f t="shared" si="33"/>
        <v>747.49999999999989</v>
      </c>
      <c r="K300" s="43" t="s">
        <v>992</v>
      </c>
    </row>
    <row r="301" spans="1:11" x14ac:dyDescent="0.2">
      <c r="A301" s="249" t="s">
        <v>926</v>
      </c>
      <c r="B301" s="14" t="str">
        <f>Modeltabelle[[#This Row],[SAP Teile-bezeichnung]]</f>
        <v>VTP145-100-01</v>
      </c>
      <c r="C301" s="14" t="s">
        <v>947</v>
      </c>
      <c r="D301" s="14" t="s">
        <v>61</v>
      </c>
      <c r="E301" s="17">
        <v>145</v>
      </c>
      <c r="F301" s="15">
        <v>1250</v>
      </c>
      <c r="G301" s="19">
        <v>650</v>
      </c>
      <c r="H301" s="19"/>
      <c r="I301" s="19" t="s">
        <v>4</v>
      </c>
      <c r="J301" s="19">
        <f t="shared" si="33"/>
        <v>747.49999999999989</v>
      </c>
      <c r="K301" s="43" t="s">
        <v>436</v>
      </c>
    </row>
    <row r="302" spans="1:11" x14ac:dyDescent="0.2">
      <c r="A302" s="249" t="s">
        <v>1620</v>
      </c>
      <c r="B302" s="14" t="str">
        <f>Modeltabelle[[#This Row],[SAP Teile-bezeichnung]]</f>
        <v>VTP145-125-01</v>
      </c>
      <c r="C302" s="14" t="s">
        <v>947</v>
      </c>
      <c r="D302" s="14" t="s">
        <v>61</v>
      </c>
      <c r="E302" s="17">
        <v>145</v>
      </c>
      <c r="F302" s="15">
        <v>1250</v>
      </c>
      <c r="G302" s="19">
        <v>650</v>
      </c>
      <c r="H302" s="19"/>
      <c r="I302" s="19" t="s">
        <v>4</v>
      </c>
      <c r="J302" s="19">
        <f t="shared" ref="J302:J303" si="36">G302*1.15</f>
        <v>747.49999999999989</v>
      </c>
      <c r="K302" s="43" t="s">
        <v>1622</v>
      </c>
    </row>
    <row r="303" spans="1:11" x14ac:dyDescent="0.2">
      <c r="A303" s="249" t="s">
        <v>1621</v>
      </c>
      <c r="B303" s="14" t="str">
        <f>Modeltabelle[[#This Row],[SAP Teile-bezeichnung]]</f>
        <v>VTP145-167-01</v>
      </c>
      <c r="C303" s="14" t="s">
        <v>947</v>
      </c>
      <c r="D303" s="14" t="s">
        <v>61</v>
      </c>
      <c r="E303" s="17">
        <v>145</v>
      </c>
      <c r="F303" s="15">
        <v>1250</v>
      </c>
      <c r="G303" s="19">
        <v>650</v>
      </c>
      <c r="H303" s="19"/>
      <c r="I303" s="19" t="s">
        <v>4</v>
      </c>
      <c r="J303" s="19">
        <f t="shared" si="36"/>
        <v>747.49999999999989</v>
      </c>
      <c r="K303" s="43" t="s">
        <v>1623</v>
      </c>
    </row>
    <row r="304" spans="1:11" x14ac:dyDescent="0.2">
      <c r="A304" s="249" t="s">
        <v>927</v>
      </c>
      <c r="B304" s="14" t="str">
        <f>Modeltabelle[[#This Row],[SAP Teile-bezeichnung]]</f>
        <v>VTP170-025-02</v>
      </c>
      <c r="C304" s="14" t="s">
        <v>953</v>
      </c>
      <c r="D304" s="14" t="s">
        <v>61</v>
      </c>
      <c r="E304" s="17">
        <v>170</v>
      </c>
      <c r="F304" s="15"/>
      <c r="G304" s="43">
        <v>750</v>
      </c>
      <c r="H304" s="43"/>
      <c r="I304" s="43"/>
      <c r="J304" s="43">
        <f t="shared" si="33"/>
        <v>862.49999999999989</v>
      </c>
      <c r="K304" s="43" t="s">
        <v>993</v>
      </c>
    </row>
    <row r="305" spans="1:11" x14ac:dyDescent="0.2">
      <c r="A305" s="249" t="s">
        <v>1624</v>
      </c>
      <c r="B305" s="14" t="str">
        <f>Modeltabelle[[#This Row],[SAP Teile-bezeichnung]]</f>
        <v>VTP170-050-01</v>
      </c>
      <c r="C305" s="14" t="s">
        <v>953</v>
      </c>
      <c r="D305" s="14" t="s">
        <v>61</v>
      </c>
      <c r="E305" s="17">
        <v>170</v>
      </c>
      <c r="F305" s="15"/>
      <c r="G305" s="43">
        <v>750</v>
      </c>
      <c r="H305" s="43"/>
      <c r="I305" s="43"/>
      <c r="J305" s="43">
        <f t="shared" ref="J305:J308" si="37">G305*1.15</f>
        <v>862.49999999999989</v>
      </c>
      <c r="K305" s="43" t="s">
        <v>1628</v>
      </c>
    </row>
    <row r="306" spans="1:11" x14ac:dyDescent="0.2">
      <c r="A306" s="249" t="s">
        <v>1625</v>
      </c>
      <c r="B306" s="14" t="str">
        <f>Modeltabelle[[#This Row],[SAP Teile-bezeichnung]]</f>
        <v>VTP170-100-01</v>
      </c>
      <c r="C306" s="14" t="s">
        <v>953</v>
      </c>
      <c r="D306" s="14" t="s">
        <v>61</v>
      </c>
      <c r="E306" s="17">
        <v>170</v>
      </c>
      <c r="F306" s="15"/>
      <c r="G306" s="43">
        <v>750</v>
      </c>
      <c r="H306" s="43"/>
      <c r="I306" s="43"/>
      <c r="J306" s="43">
        <f t="shared" si="37"/>
        <v>862.49999999999989</v>
      </c>
      <c r="K306" s="43" t="s">
        <v>1629</v>
      </c>
    </row>
    <row r="307" spans="1:11" x14ac:dyDescent="0.2">
      <c r="A307" s="249" t="s">
        <v>1626</v>
      </c>
      <c r="B307" s="14" t="str">
        <f>Modeltabelle[[#This Row],[SAP Teile-bezeichnung]]</f>
        <v>VTP170-125-01</v>
      </c>
      <c r="C307" s="14" t="s">
        <v>953</v>
      </c>
      <c r="D307" s="14" t="s">
        <v>61</v>
      </c>
      <c r="E307" s="17">
        <v>170</v>
      </c>
      <c r="F307" s="15"/>
      <c r="G307" s="43">
        <v>750</v>
      </c>
      <c r="H307" s="43"/>
      <c r="I307" s="43"/>
      <c r="J307" s="43">
        <f t="shared" si="37"/>
        <v>862.49999999999989</v>
      </c>
      <c r="K307" s="43" t="s">
        <v>1630</v>
      </c>
    </row>
    <row r="308" spans="1:11" x14ac:dyDescent="0.2">
      <c r="A308" s="249" t="s">
        <v>1627</v>
      </c>
      <c r="B308" s="14" t="str">
        <f>Modeltabelle[[#This Row],[SAP Teile-bezeichnung]]</f>
        <v>VTP170-167-01</v>
      </c>
      <c r="C308" s="14" t="s">
        <v>953</v>
      </c>
      <c r="D308" s="14" t="s">
        <v>61</v>
      </c>
      <c r="E308" s="17">
        <v>170</v>
      </c>
      <c r="F308" s="15"/>
      <c r="G308" s="43">
        <v>750</v>
      </c>
      <c r="H308" s="43"/>
      <c r="I308" s="43"/>
      <c r="J308" s="43">
        <f t="shared" si="37"/>
        <v>862.49999999999989</v>
      </c>
      <c r="K308" s="43" t="s">
        <v>1631</v>
      </c>
    </row>
    <row r="309" spans="1:11" x14ac:dyDescent="0.2">
      <c r="A309" s="249" t="s">
        <v>852</v>
      </c>
      <c r="B309" s="14" t="str">
        <f>Modeltabelle[[#This Row],[SAP Teile-bezeichnung]]</f>
        <v>VTP245-025-02</v>
      </c>
      <c r="C309" s="14" t="s">
        <v>948</v>
      </c>
      <c r="D309" s="14" t="s">
        <v>61</v>
      </c>
      <c r="E309" s="17">
        <v>245</v>
      </c>
      <c r="F309" s="15"/>
      <c r="G309" s="19">
        <v>1050</v>
      </c>
      <c r="H309" s="19">
        <v>460</v>
      </c>
      <c r="I309" s="19" t="s">
        <v>4</v>
      </c>
      <c r="J309" s="19">
        <f t="shared" si="33"/>
        <v>1207.5</v>
      </c>
      <c r="K309" s="43" t="s">
        <v>994</v>
      </c>
    </row>
    <row r="310" spans="1:11" x14ac:dyDescent="0.2">
      <c r="A310" s="249" t="s">
        <v>179</v>
      </c>
      <c r="B310" s="14" t="str">
        <f>Modeltabelle[[#This Row],[SAP Teile-bezeichnung]]</f>
        <v>VTP245-050-01</v>
      </c>
      <c r="C310" s="14" t="s">
        <v>948</v>
      </c>
      <c r="D310" s="14" t="s">
        <v>61</v>
      </c>
      <c r="E310" s="17">
        <v>245</v>
      </c>
      <c r="F310" s="15"/>
      <c r="G310" s="19">
        <v>1050</v>
      </c>
      <c r="H310" s="19">
        <v>460</v>
      </c>
      <c r="I310" s="19" t="s">
        <v>4</v>
      </c>
      <c r="J310" s="19">
        <f t="shared" si="33"/>
        <v>1207.5</v>
      </c>
      <c r="K310" s="43" t="s">
        <v>995</v>
      </c>
    </row>
    <row r="311" spans="1:11" x14ac:dyDescent="0.2">
      <c r="A311" s="249" t="s">
        <v>853</v>
      </c>
      <c r="B311" s="14" t="str">
        <f>Modeltabelle[[#This Row],[SAP Teile-bezeichnung]]</f>
        <v>VTP245-100-01</v>
      </c>
      <c r="C311" s="14" t="s">
        <v>948</v>
      </c>
      <c r="D311" s="14" t="s">
        <v>61</v>
      </c>
      <c r="E311" s="17">
        <v>245</v>
      </c>
      <c r="F311" s="15"/>
      <c r="G311" s="19">
        <v>1050</v>
      </c>
      <c r="H311" s="19">
        <v>460</v>
      </c>
      <c r="I311" s="19" t="s">
        <v>4</v>
      </c>
      <c r="J311" s="19">
        <f t="shared" si="33"/>
        <v>1207.5</v>
      </c>
      <c r="K311" s="43" t="s">
        <v>954</v>
      </c>
    </row>
    <row r="312" spans="1:11" x14ac:dyDescent="0.2">
      <c r="A312" s="249" t="s">
        <v>178</v>
      </c>
      <c r="B312" s="14" t="str">
        <f>Modeltabelle[[#This Row],[SAP Teile-bezeichnung]]</f>
        <v>VTP245-125-01</v>
      </c>
      <c r="C312" s="14" t="s">
        <v>948</v>
      </c>
      <c r="D312" s="14" t="s">
        <v>61</v>
      </c>
      <c r="E312" s="17">
        <v>245</v>
      </c>
      <c r="F312" s="15"/>
      <c r="G312" s="19">
        <v>1050</v>
      </c>
      <c r="H312" s="19">
        <v>460</v>
      </c>
      <c r="I312" s="19" t="s">
        <v>4</v>
      </c>
      <c r="J312" s="19">
        <f t="shared" si="33"/>
        <v>1207.5</v>
      </c>
      <c r="K312" s="43" t="s">
        <v>955</v>
      </c>
    </row>
    <row r="313" spans="1:11" x14ac:dyDescent="0.2">
      <c r="A313" s="249" t="s">
        <v>854</v>
      </c>
      <c r="B313" s="14" t="str">
        <f>Modeltabelle[[#This Row],[SAP Teile-bezeichnung]]</f>
        <v>VTP245-167-01</v>
      </c>
      <c r="C313" s="14" t="s">
        <v>948</v>
      </c>
      <c r="D313" s="14" t="s">
        <v>61</v>
      </c>
      <c r="E313" s="17">
        <v>245</v>
      </c>
      <c r="F313" s="15"/>
      <c r="G313" s="19">
        <v>1050</v>
      </c>
      <c r="H313" s="19">
        <v>460</v>
      </c>
      <c r="I313" s="19" t="s">
        <v>4</v>
      </c>
      <c r="J313" s="19">
        <f t="shared" si="33"/>
        <v>1207.5</v>
      </c>
      <c r="K313" s="43" t="s">
        <v>956</v>
      </c>
    </row>
    <row r="314" spans="1:11" x14ac:dyDescent="0.2">
      <c r="A314" s="249" t="s">
        <v>1632</v>
      </c>
      <c r="B314" s="14" t="str">
        <f>Modeltabelle[[#This Row],[SAP Teile-bezeichnung]]</f>
        <v>VTP362-025-02</v>
      </c>
      <c r="C314" s="14" t="s">
        <v>952</v>
      </c>
      <c r="D314" s="14" t="s">
        <v>61</v>
      </c>
      <c r="E314" s="17">
        <v>362</v>
      </c>
      <c r="F314" s="15"/>
      <c r="G314" s="19">
        <v>1175</v>
      </c>
      <c r="H314" s="19">
        <v>460</v>
      </c>
      <c r="I314" s="19">
        <v>950</v>
      </c>
      <c r="J314" s="19">
        <f t="shared" ref="J314" si="38">G314*1.15</f>
        <v>1351.25</v>
      </c>
      <c r="K314" s="43" t="s">
        <v>1633</v>
      </c>
    </row>
    <row r="315" spans="1:11" x14ac:dyDescent="0.2">
      <c r="A315" s="249" t="s">
        <v>270</v>
      </c>
      <c r="B315" s="14" t="str">
        <f>Modeltabelle[[#This Row],[SAP Teile-bezeichnung]]</f>
        <v>VTP362-050-01</v>
      </c>
      <c r="C315" s="14" t="s">
        <v>952</v>
      </c>
      <c r="D315" s="14" t="s">
        <v>61</v>
      </c>
      <c r="E315" s="17">
        <v>362</v>
      </c>
      <c r="F315" s="15"/>
      <c r="G315" s="19">
        <v>1175</v>
      </c>
      <c r="H315" s="19">
        <v>460</v>
      </c>
      <c r="I315" s="19">
        <v>950</v>
      </c>
      <c r="J315" s="19">
        <f t="shared" si="33"/>
        <v>1351.25</v>
      </c>
      <c r="K315" s="43" t="s">
        <v>996</v>
      </c>
    </row>
    <row r="316" spans="1:11" x14ac:dyDescent="0.2">
      <c r="A316" s="249" t="s">
        <v>271</v>
      </c>
      <c r="B316" s="14" t="str">
        <f>Modeltabelle[[#This Row],[SAP Teile-bezeichnung]]</f>
        <v>VTP362-100-01</v>
      </c>
      <c r="C316" s="14" t="s">
        <v>952</v>
      </c>
      <c r="D316" s="14" t="s">
        <v>61</v>
      </c>
      <c r="E316" s="17">
        <v>362</v>
      </c>
      <c r="F316" s="15"/>
      <c r="G316" s="19">
        <v>1175</v>
      </c>
      <c r="H316" s="19">
        <v>460</v>
      </c>
      <c r="I316" s="19">
        <v>950</v>
      </c>
      <c r="J316" s="19">
        <f t="shared" si="33"/>
        <v>1351.25</v>
      </c>
      <c r="K316" s="43" t="s">
        <v>959</v>
      </c>
    </row>
    <row r="317" spans="1:11" x14ac:dyDescent="0.2">
      <c r="A317" s="249" t="s">
        <v>855</v>
      </c>
      <c r="B317" s="14" t="str">
        <f>Modeltabelle[[#This Row],[SAP Teile-bezeichnung]]</f>
        <v>VTP362-125-01</v>
      </c>
      <c r="C317" s="14" t="s">
        <v>952</v>
      </c>
      <c r="D317" s="14" t="s">
        <v>61</v>
      </c>
      <c r="E317" s="17">
        <v>362</v>
      </c>
      <c r="F317" s="15"/>
      <c r="G317" s="19">
        <v>1175</v>
      </c>
      <c r="H317" s="19">
        <v>460</v>
      </c>
      <c r="I317" s="19">
        <v>950</v>
      </c>
      <c r="J317" s="19">
        <f t="shared" si="33"/>
        <v>1351.25</v>
      </c>
      <c r="K317" s="43" t="s">
        <v>960</v>
      </c>
    </row>
    <row r="318" spans="1:11" x14ac:dyDescent="0.2">
      <c r="A318" s="249" t="s">
        <v>856</v>
      </c>
      <c r="B318" s="14" t="str">
        <f>Modeltabelle[[#This Row],[SAP Teile-bezeichnung]]</f>
        <v>VTP362-167-01</v>
      </c>
      <c r="C318" s="14" t="s">
        <v>952</v>
      </c>
      <c r="D318" s="14" t="s">
        <v>61</v>
      </c>
      <c r="E318" s="17">
        <v>362</v>
      </c>
      <c r="F318" s="15"/>
      <c r="G318" s="19">
        <v>1175</v>
      </c>
      <c r="H318" s="19">
        <v>460</v>
      </c>
      <c r="I318" s="19">
        <v>950</v>
      </c>
      <c r="J318" s="19">
        <f t="shared" si="33"/>
        <v>1351.25</v>
      </c>
      <c r="K318" s="43" t="s">
        <v>961</v>
      </c>
    </row>
    <row r="319" spans="1:11" x14ac:dyDescent="0.2">
      <c r="A319" s="249" t="s">
        <v>857</v>
      </c>
      <c r="B319" s="14" t="str">
        <f>Modeltabelle[[#This Row],[SAP Teile-bezeichnung]]</f>
        <v>VTP420-025-02</v>
      </c>
      <c r="C319" s="14" t="s">
        <v>957</v>
      </c>
      <c r="D319" s="14" t="s">
        <v>61</v>
      </c>
      <c r="E319" s="17">
        <v>420</v>
      </c>
      <c r="F319" s="15"/>
      <c r="G319" s="19">
        <v>1425</v>
      </c>
      <c r="H319" s="19">
        <v>630</v>
      </c>
      <c r="I319" s="19">
        <v>1050</v>
      </c>
      <c r="J319" s="19">
        <f t="shared" si="33"/>
        <v>1638.7499999999998</v>
      </c>
      <c r="K319" s="43" t="s">
        <v>997</v>
      </c>
    </row>
    <row r="320" spans="1:11" x14ac:dyDescent="0.2">
      <c r="A320" s="249" t="s">
        <v>1575</v>
      </c>
      <c r="B320" s="14" t="str">
        <f>Modeltabelle[[#This Row],[SAP Teile-bezeichnung]]</f>
        <v>VTP420-050-01</v>
      </c>
      <c r="C320" s="14" t="s">
        <v>957</v>
      </c>
      <c r="D320" s="14" t="s">
        <v>61</v>
      </c>
      <c r="E320" s="17">
        <v>420</v>
      </c>
      <c r="F320" s="15"/>
      <c r="G320" s="19">
        <v>1425</v>
      </c>
      <c r="H320" s="19">
        <v>630</v>
      </c>
      <c r="I320" s="19">
        <v>1050</v>
      </c>
      <c r="J320" s="19">
        <f t="shared" ref="J320" si="39">G320*1.15</f>
        <v>1638.7499999999998</v>
      </c>
      <c r="K320" s="43" t="s">
        <v>1576</v>
      </c>
    </row>
    <row r="321" spans="1:11" x14ac:dyDescent="0.2">
      <c r="A321" s="249" t="s">
        <v>858</v>
      </c>
      <c r="B321" s="14" t="str">
        <f>Modeltabelle[[#This Row],[SAP Teile-bezeichnung]]</f>
        <v>VTP420-100-01</v>
      </c>
      <c r="C321" s="14" t="s">
        <v>957</v>
      </c>
      <c r="D321" s="14" t="s">
        <v>61</v>
      </c>
      <c r="E321" s="17">
        <v>420</v>
      </c>
      <c r="F321" s="15"/>
      <c r="G321" s="19">
        <v>1425</v>
      </c>
      <c r="H321" s="19">
        <v>630</v>
      </c>
      <c r="I321" s="19">
        <v>1050</v>
      </c>
      <c r="J321" s="19">
        <f t="shared" si="33"/>
        <v>1638.7499999999998</v>
      </c>
      <c r="K321" s="43" t="s">
        <v>437</v>
      </c>
    </row>
    <row r="322" spans="1:11" x14ac:dyDescent="0.2">
      <c r="A322" s="249" t="s">
        <v>1634</v>
      </c>
      <c r="B322" s="14" t="str">
        <f>Modeltabelle[[#This Row],[SAP Teile-bezeichnung]]</f>
        <v>VTP420-125-01</v>
      </c>
      <c r="C322" s="14" t="s">
        <v>957</v>
      </c>
      <c r="D322" s="14" t="s">
        <v>61</v>
      </c>
      <c r="E322" s="17">
        <v>420</v>
      </c>
      <c r="F322" s="15"/>
      <c r="G322" s="19">
        <v>1425</v>
      </c>
      <c r="H322" s="19">
        <v>630</v>
      </c>
      <c r="I322" s="19">
        <v>1050</v>
      </c>
      <c r="J322" s="19">
        <f t="shared" ref="J322:J323" si="40">G322*1.15</f>
        <v>1638.7499999999998</v>
      </c>
      <c r="K322" s="43" t="s">
        <v>1636</v>
      </c>
    </row>
    <row r="323" spans="1:11" x14ac:dyDescent="0.2">
      <c r="A323" s="249" t="s">
        <v>1635</v>
      </c>
      <c r="B323" s="14" t="str">
        <f>Modeltabelle[[#This Row],[SAP Teile-bezeichnung]]</f>
        <v>VTP420-167-01</v>
      </c>
      <c r="C323" s="14" t="s">
        <v>957</v>
      </c>
      <c r="D323" s="14" t="s">
        <v>61</v>
      </c>
      <c r="E323" s="17">
        <v>420</v>
      </c>
      <c r="F323" s="15"/>
      <c r="G323" s="19">
        <v>1425</v>
      </c>
      <c r="H323" s="19">
        <v>630</v>
      </c>
      <c r="I323" s="19">
        <v>1050</v>
      </c>
      <c r="J323" s="19">
        <f t="shared" si="40"/>
        <v>1638.7499999999998</v>
      </c>
      <c r="K323" s="43" t="s">
        <v>1637</v>
      </c>
    </row>
    <row r="324" spans="1:11" x14ac:dyDescent="0.2">
      <c r="A324" s="249" t="s">
        <v>861</v>
      </c>
      <c r="B324" s="14" t="str">
        <f>Modeltabelle[[#This Row],[SAP Teile-bezeichnung]]</f>
        <v>VTP550-050-01</v>
      </c>
      <c r="C324" s="14" t="s">
        <v>958</v>
      </c>
      <c r="D324" s="14" t="s">
        <v>61</v>
      </c>
      <c r="E324" s="17">
        <v>550</v>
      </c>
      <c r="F324" s="15"/>
      <c r="G324" s="19">
        <v>1550</v>
      </c>
      <c r="H324" s="19">
        <v>680</v>
      </c>
      <c r="I324" s="19">
        <v>1175</v>
      </c>
      <c r="J324" s="19"/>
      <c r="K324" s="43" t="s">
        <v>1638</v>
      </c>
    </row>
    <row r="325" spans="1:11" x14ac:dyDescent="0.2">
      <c r="A325" s="249" t="s">
        <v>862</v>
      </c>
      <c r="B325" s="14" t="str">
        <f>Modeltabelle[[#This Row],[SAP Teile-bezeichnung]]</f>
        <v>VTP550-125-01</v>
      </c>
      <c r="C325" s="14" t="s">
        <v>958</v>
      </c>
      <c r="D325" s="14" t="s">
        <v>61</v>
      </c>
      <c r="E325" s="17">
        <v>550</v>
      </c>
      <c r="F325" s="15"/>
      <c r="G325" s="19">
        <v>1550</v>
      </c>
      <c r="H325" s="19">
        <v>680</v>
      </c>
      <c r="I325" s="19">
        <v>1175</v>
      </c>
      <c r="J325" s="19"/>
      <c r="K325" s="43" t="s">
        <v>962</v>
      </c>
    </row>
    <row r="326" spans="1:11" x14ac:dyDescent="0.2">
      <c r="A326" s="249" t="s">
        <v>863</v>
      </c>
      <c r="B326" s="14" t="str">
        <f>Modeltabelle[[#This Row],[SAP Teile-bezeichnung]]</f>
        <v>VTP550-167-01</v>
      </c>
      <c r="C326" s="14" t="s">
        <v>958</v>
      </c>
      <c r="D326" s="14" t="s">
        <v>61</v>
      </c>
      <c r="E326" s="17">
        <v>550</v>
      </c>
      <c r="F326" s="15"/>
      <c r="G326" s="19">
        <v>1550</v>
      </c>
      <c r="H326" s="19">
        <v>680</v>
      </c>
      <c r="I326" s="19">
        <v>1175</v>
      </c>
      <c r="J326" s="19"/>
      <c r="K326" s="43" t="s">
        <v>963</v>
      </c>
    </row>
    <row r="327" spans="1:11" x14ac:dyDescent="0.2">
      <c r="A327" s="249" t="s">
        <v>1641</v>
      </c>
      <c r="B327" s="14" t="str">
        <f>Modeltabelle[[#This Row],[SAP Teile-bezeichnung]]</f>
        <v>VTPA072-025-02</v>
      </c>
      <c r="C327" s="14" t="s">
        <v>946</v>
      </c>
      <c r="D327" s="14" t="s">
        <v>61</v>
      </c>
      <c r="E327" s="17">
        <v>72.5</v>
      </c>
      <c r="F327" s="15">
        <v>700</v>
      </c>
      <c r="G327" s="19">
        <v>325</v>
      </c>
      <c r="H327" s="19"/>
      <c r="I327" s="19" t="s">
        <v>4</v>
      </c>
      <c r="J327" s="19">
        <f t="shared" ref="J327:J357" si="41">G327*1.15</f>
        <v>373.74999999999994</v>
      </c>
      <c r="K327" s="43" t="s">
        <v>1666</v>
      </c>
    </row>
    <row r="328" spans="1:11" x14ac:dyDescent="0.2">
      <c r="A328" s="249" t="s">
        <v>1642</v>
      </c>
      <c r="B328" s="14" t="str">
        <f>Modeltabelle[[#This Row],[SAP Teile-bezeichnung]]</f>
        <v>VTPA072-050-01</v>
      </c>
      <c r="C328" s="14" t="s">
        <v>946</v>
      </c>
      <c r="D328" s="14" t="s">
        <v>61</v>
      </c>
      <c r="E328" s="17">
        <v>72.5</v>
      </c>
      <c r="F328" s="15">
        <v>700</v>
      </c>
      <c r="G328" s="19">
        <v>325</v>
      </c>
      <c r="H328" s="19"/>
      <c r="I328" s="19" t="s">
        <v>4</v>
      </c>
      <c r="J328" s="19">
        <f t="shared" si="41"/>
        <v>373.74999999999994</v>
      </c>
      <c r="K328" s="43" t="s">
        <v>1667</v>
      </c>
    </row>
    <row r="329" spans="1:11" x14ac:dyDescent="0.2">
      <c r="A329" s="249" t="s">
        <v>1522</v>
      </c>
      <c r="B329" s="14" t="str">
        <f>Modeltabelle[[#This Row],[SAP Teile-bezeichnung]]</f>
        <v>VTPA072-100-01</v>
      </c>
      <c r="C329" s="14" t="s">
        <v>946</v>
      </c>
      <c r="D329" s="14" t="s">
        <v>61</v>
      </c>
      <c r="E329" s="17">
        <v>72.5</v>
      </c>
      <c r="F329" s="15">
        <v>700</v>
      </c>
      <c r="G329" s="19">
        <v>325</v>
      </c>
      <c r="H329" s="19"/>
      <c r="I329" s="19" t="s">
        <v>4</v>
      </c>
      <c r="J329" s="19">
        <f t="shared" si="41"/>
        <v>373.74999999999994</v>
      </c>
      <c r="K329" s="43" t="s">
        <v>1523</v>
      </c>
    </row>
    <row r="330" spans="1:11" x14ac:dyDescent="0.2">
      <c r="A330" s="249" t="s">
        <v>1643</v>
      </c>
      <c r="B330" s="14" t="str">
        <f>Modeltabelle[[#This Row],[SAP Teile-bezeichnung]]</f>
        <v>VTPA072-125-01</v>
      </c>
      <c r="C330" s="14" t="s">
        <v>946</v>
      </c>
      <c r="D330" s="14" t="s">
        <v>61</v>
      </c>
      <c r="E330" s="17">
        <v>72.5</v>
      </c>
      <c r="F330" s="15">
        <v>700</v>
      </c>
      <c r="G330" s="19">
        <v>325</v>
      </c>
      <c r="H330" s="19"/>
      <c r="I330" s="19" t="s">
        <v>4</v>
      </c>
      <c r="J330" s="19">
        <f t="shared" si="41"/>
        <v>373.74999999999994</v>
      </c>
      <c r="K330" s="43" t="s">
        <v>1668</v>
      </c>
    </row>
    <row r="331" spans="1:11" x14ac:dyDescent="0.2">
      <c r="A331" s="249" t="s">
        <v>1524</v>
      </c>
      <c r="B331" s="14" t="str">
        <f>Modeltabelle[[#This Row],[SAP Teile-bezeichnung]]</f>
        <v>VTPA123-025-02</v>
      </c>
      <c r="C331" s="14" t="s">
        <v>949</v>
      </c>
      <c r="D331" s="14" t="s">
        <v>61</v>
      </c>
      <c r="E331" s="17">
        <v>123</v>
      </c>
      <c r="F331" s="15"/>
      <c r="G331" s="43">
        <v>550</v>
      </c>
      <c r="H331" s="43"/>
      <c r="I331" s="43"/>
      <c r="J331" s="43">
        <f t="shared" si="41"/>
        <v>632.5</v>
      </c>
      <c r="K331" s="43" t="s">
        <v>1525</v>
      </c>
    </row>
    <row r="332" spans="1:11" x14ac:dyDescent="0.2">
      <c r="A332" s="249" t="s">
        <v>1644</v>
      </c>
      <c r="B332" s="14" t="str">
        <f>Modeltabelle[[#This Row],[SAP Teile-bezeichnung]]</f>
        <v>VTPA123-050-01</v>
      </c>
      <c r="C332" s="14" t="s">
        <v>949</v>
      </c>
      <c r="D332" s="14" t="s">
        <v>61</v>
      </c>
      <c r="E332" s="17">
        <v>123</v>
      </c>
      <c r="F332" s="15"/>
      <c r="G332" s="43">
        <v>550</v>
      </c>
      <c r="H332" s="43"/>
      <c r="I332" s="43"/>
      <c r="J332" s="43">
        <f t="shared" si="41"/>
        <v>632.5</v>
      </c>
      <c r="K332" s="43" t="s">
        <v>1669</v>
      </c>
    </row>
    <row r="333" spans="1:11" x14ac:dyDescent="0.2">
      <c r="A333" s="249" t="s">
        <v>1645</v>
      </c>
      <c r="B333" s="14" t="str">
        <f>Modeltabelle[[#This Row],[SAP Teile-bezeichnung]]</f>
        <v>VTPA123-100-01</v>
      </c>
      <c r="C333" s="14" t="s">
        <v>949</v>
      </c>
      <c r="D333" s="14" t="s">
        <v>61</v>
      </c>
      <c r="E333" s="17">
        <v>123</v>
      </c>
      <c r="F333" s="15"/>
      <c r="G333" s="43">
        <v>550</v>
      </c>
      <c r="H333" s="43"/>
      <c r="I333" s="43"/>
      <c r="J333" s="43">
        <f t="shared" si="41"/>
        <v>632.5</v>
      </c>
      <c r="K333" s="43" t="s">
        <v>1670</v>
      </c>
    </row>
    <row r="334" spans="1:11" x14ac:dyDescent="0.2">
      <c r="A334" s="249" t="s">
        <v>1646</v>
      </c>
      <c r="B334" s="14" t="str">
        <f>Modeltabelle[[#This Row],[SAP Teile-bezeichnung]]</f>
        <v>VTPA123-125-01</v>
      </c>
      <c r="C334" s="14" t="s">
        <v>949</v>
      </c>
      <c r="D334" s="14" t="s">
        <v>61</v>
      </c>
      <c r="E334" s="17">
        <v>123</v>
      </c>
      <c r="F334" s="15"/>
      <c r="G334" s="43">
        <v>550</v>
      </c>
      <c r="H334" s="43"/>
      <c r="I334" s="43"/>
      <c r="J334" s="43">
        <f t="shared" si="41"/>
        <v>632.5</v>
      </c>
      <c r="K334" s="43" t="s">
        <v>1671</v>
      </c>
    </row>
    <row r="335" spans="1:11" x14ac:dyDescent="0.2">
      <c r="A335" s="249" t="s">
        <v>1647</v>
      </c>
      <c r="B335" s="14" t="str">
        <f>Modeltabelle[[#This Row],[SAP Teile-bezeichnung]]</f>
        <v>VTPA123-167-01</v>
      </c>
      <c r="C335" s="14" t="s">
        <v>949</v>
      </c>
      <c r="D335" s="14" t="s">
        <v>61</v>
      </c>
      <c r="E335" s="17">
        <v>123</v>
      </c>
      <c r="F335" s="15"/>
      <c r="G335" s="43">
        <v>550</v>
      </c>
      <c r="H335" s="43"/>
      <c r="I335" s="43"/>
      <c r="J335" s="43">
        <f t="shared" si="41"/>
        <v>632.5</v>
      </c>
      <c r="K335" s="43" t="s">
        <v>1672</v>
      </c>
    </row>
    <row r="336" spans="1:11" x14ac:dyDescent="0.2">
      <c r="A336" s="249" t="s">
        <v>1425</v>
      </c>
      <c r="B336" s="14" t="str">
        <f>Modeltabelle[[#This Row],[SAP Teile-bezeichnung]]</f>
        <v>VTPA145-025-02</v>
      </c>
      <c r="C336" s="14" t="s">
        <v>947</v>
      </c>
      <c r="D336" s="14" t="s">
        <v>61</v>
      </c>
      <c r="E336" s="17">
        <v>145</v>
      </c>
      <c r="F336" s="15">
        <v>1250</v>
      </c>
      <c r="G336" s="19">
        <v>650</v>
      </c>
      <c r="H336" s="19"/>
      <c r="I336" s="19" t="s">
        <v>4</v>
      </c>
      <c r="J336" s="19">
        <f t="shared" si="41"/>
        <v>747.49999999999989</v>
      </c>
      <c r="K336" s="43" t="s">
        <v>1426</v>
      </c>
    </row>
    <row r="337" spans="1:11" x14ac:dyDescent="0.2">
      <c r="A337" s="249" t="s">
        <v>928</v>
      </c>
      <c r="B337" s="14" t="str">
        <f>Modeltabelle[[#This Row],[SAP Teile-bezeichnung]]</f>
        <v>VTPA145-050-01</v>
      </c>
      <c r="C337" s="14" t="s">
        <v>947</v>
      </c>
      <c r="D337" s="14" t="s">
        <v>61</v>
      </c>
      <c r="E337" s="17">
        <v>145</v>
      </c>
      <c r="F337" s="15">
        <v>1250</v>
      </c>
      <c r="G337" s="19">
        <v>650</v>
      </c>
      <c r="H337" s="19"/>
      <c r="I337" s="19" t="s">
        <v>4</v>
      </c>
      <c r="J337" s="19">
        <f t="shared" si="41"/>
        <v>747.49999999999989</v>
      </c>
      <c r="K337" s="43" t="s">
        <v>1424</v>
      </c>
    </row>
    <row r="338" spans="1:11" x14ac:dyDescent="0.2">
      <c r="A338" s="249" t="s">
        <v>1648</v>
      </c>
      <c r="B338" s="14" t="str">
        <f>Modeltabelle[[#This Row],[SAP Teile-bezeichnung]]</f>
        <v>VTPA145-100-01</v>
      </c>
      <c r="C338" s="14" t="s">
        <v>947</v>
      </c>
      <c r="D338" s="14" t="s">
        <v>61</v>
      </c>
      <c r="E338" s="17">
        <v>145</v>
      </c>
      <c r="F338" s="15">
        <v>1250</v>
      </c>
      <c r="G338" s="19">
        <v>650</v>
      </c>
      <c r="H338" s="19"/>
      <c r="I338" s="19" t="s">
        <v>4</v>
      </c>
      <c r="J338" s="19">
        <f t="shared" si="41"/>
        <v>747.49999999999989</v>
      </c>
      <c r="K338" s="43" t="s">
        <v>1673</v>
      </c>
    </row>
    <row r="339" spans="1:11" x14ac:dyDescent="0.2">
      <c r="A339" s="249" t="s">
        <v>1649</v>
      </c>
      <c r="B339" s="14" t="str">
        <f>Modeltabelle[[#This Row],[SAP Teile-bezeichnung]]</f>
        <v>VTPA145-125-01</v>
      </c>
      <c r="C339" s="14" t="s">
        <v>947</v>
      </c>
      <c r="D339" s="14" t="s">
        <v>61</v>
      </c>
      <c r="E339" s="17">
        <v>145</v>
      </c>
      <c r="F339" s="15">
        <v>1250</v>
      </c>
      <c r="G339" s="19">
        <v>650</v>
      </c>
      <c r="H339" s="19"/>
      <c r="I339" s="19" t="s">
        <v>4</v>
      </c>
      <c r="J339" s="19">
        <f t="shared" si="41"/>
        <v>747.49999999999989</v>
      </c>
      <c r="K339" s="43" t="s">
        <v>1674</v>
      </c>
    </row>
    <row r="340" spans="1:11" x14ac:dyDescent="0.2">
      <c r="A340" s="249" t="s">
        <v>1650</v>
      </c>
      <c r="B340" s="14" t="str">
        <f>Modeltabelle[[#This Row],[SAP Teile-bezeichnung]]</f>
        <v>VTPA145-167-01</v>
      </c>
      <c r="C340" s="14" t="s">
        <v>947</v>
      </c>
      <c r="D340" s="14" t="s">
        <v>61</v>
      </c>
      <c r="E340" s="17">
        <v>145</v>
      </c>
      <c r="F340" s="15">
        <v>1250</v>
      </c>
      <c r="G340" s="19">
        <v>650</v>
      </c>
      <c r="H340" s="19"/>
      <c r="I340" s="19" t="s">
        <v>4</v>
      </c>
      <c r="J340" s="19">
        <f t="shared" si="41"/>
        <v>747.49999999999989</v>
      </c>
      <c r="K340" s="43" t="s">
        <v>1675</v>
      </c>
    </row>
    <row r="341" spans="1:11" x14ac:dyDescent="0.2">
      <c r="A341" s="249" t="s">
        <v>1651</v>
      </c>
      <c r="B341" s="14" t="str">
        <f>Modeltabelle[[#This Row],[SAP Teile-bezeichnung]]</f>
        <v>VTPA170-025-02</v>
      </c>
      <c r="C341" s="14" t="s">
        <v>953</v>
      </c>
      <c r="D341" s="14" t="s">
        <v>61</v>
      </c>
      <c r="E341" s="17">
        <v>170</v>
      </c>
      <c r="F341" s="15"/>
      <c r="G341" s="43">
        <v>750</v>
      </c>
      <c r="H341" s="43"/>
      <c r="I341" s="43"/>
      <c r="J341" s="43">
        <f t="shared" si="41"/>
        <v>862.49999999999989</v>
      </c>
      <c r="K341" s="43" t="s">
        <v>1676</v>
      </c>
    </row>
    <row r="342" spans="1:11" x14ac:dyDescent="0.2">
      <c r="A342" s="249" t="s">
        <v>1652</v>
      </c>
      <c r="B342" s="14" t="str">
        <f>Modeltabelle[[#This Row],[SAP Teile-bezeichnung]]</f>
        <v>VTPA170-050-01</v>
      </c>
      <c r="C342" s="14" t="s">
        <v>953</v>
      </c>
      <c r="D342" s="14" t="s">
        <v>61</v>
      </c>
      <c r="E342" s="17">
        <v>170</v>
      </c>
      <c r="F342" s="15"/>
      <c r="G342" s="43">
        <v>750</v>
      </c>
      <c r="H342" s="43"/>
      <c r="I342" s="43"/>
      <c r="J342" s="43">
        <f t="shared" si="41"/>
        <v>862.49999999999989</v>
      </c>
      <c r="K342" s="43" t="s">
        <v>1677</v>
      </c>
    </row>
    <row r="343" spans="1:11" x14ac:dyDescent="0.2">
      <c r="A343" s="249" t="s">
        <v>1653</v>
      </c>
      <c r="B343" s="14" t="str">
        <f>Modeltabelle[[#This Row],[SAP Teile-bezeichnung]]</f>
        <v>VTPA170-100-01</v>
      </c>
      <c r="C343" s="14" t="s">
        <v>953</v>
      </c>
      <c r="D343" s="14" t="s">
        <v>61</v>
      </c>
      <c r="E343" s="17">
        <v>170</v>
      </c>
      <c r="F343" s="15"/>
      <c r="G343" s="43">
        <v>750</v>
      </c>
      <c r="H343" s="43"/>
      <c r="I343" s="43"/>
      <c r="J343" s="43">
        <f t="shared" si="41"/>
        <v>862.49999999999989</v>
      </c>
      <c r="K343" s="43" t="s">
        <v>1678</v>
      </c>
    </row>
    <row r="344" spans="1:11" x14ac:dyDescent="0.2">
      <c r="A344" s="249" t="s">
        <v>1654</v>
      </c>
      <c r="B344" s="14" t="str">
        <f>Modeltabelle[[#This Row],[SAP Teile-bezeichnung]]</f>
        <v>VTPA170-125-01</v>
      </c>
      <c r="C344" s="14" t="s">
        <v>953</v>
      </c>
      <c r="D344" s="14" t="s">
        <v>61</v>
      </c>
      <c r="E344" s="17">
        <v>170</v>
      </c>
      <c r="F344" s="15"/>
      <c r="G344" s="43">
        <v>750</v>
      </c>
      <c r="H344" s="43"/>
      <c r="I344" s="43"/>
      <c r="J344" s="43">
        <f t="shared" si="41"/>
        <v>862.49999999999989</v>
      </c>
      <c r="K344" s="43" t="s">
        <v>1679</v>
      </c>
    </row>
    <row r="345" spans="1:11" x14ac:dyDescent="0.2">
      <c r="A345" s="249" t="s">
        <v>1655</v>
      </c>
      <c r="B345" s="14" t="str">
        <f>Modeltabelle[[#This Row],[SAP Teile-bezeichnung]]</f>
        <v>VTPA170-167-01</v>
      </c>
      <c r="C345" s="14" t="s">
        <v>953</v>
      </c>
      <c r="D345" s="14" t="s">
        <v>61</v>
      </c>
      <c r="E345" s="17">
        <v>170</v>
      </c>
      <c r="F345" s="15"/>
      <c r="G345" s="43">
        <v>750</v>
      </c>
      <c r="H345" s="43"/>
      <c r="I345" s="43"/>
      <c r="J345" s="43">
        <f t="shared" si="41"/>
        <v>862.49999999999989</v>
      </c>
      <c r="K345" s="43" t="s">
        <v>1680</v>
      </c>
    </row>
    <row r="346" spans="1:11" x14ac:dyDescent="0.2">
      <c r="A346" s="249" t="s">
        <v>1656</v>
      </c>
      <c r="B346" s="14" t="str">
        <f>Modeltabelle[[#This Row],[SAP Teile-bezeichnung]]</f>
        <v>VTPA245-025-02</v>
      </c>
      <c r="C346" s="14" t="s">
        <v>948</v>
      </c>
      <c r="D346" s="14" t="s">
        <v>61</v>
      </c>
      <c r="E346" s="17">
        <v>245</v>
      </c>
      <c r="F346" s="15"/>
      <c r="G346" s="19">
        <v>1050</v>
      </c>
      <c r="H346" s="19">
        <v>460</v>
      </c>
      <c r="I346" s="19" t="s">
        <v>4</v>
      </c>
      <c r="J346" s="19">
        <f t="shared" si="41"/>
        <v>1207.5</v>
      </c>
      <c r="K346" s="43" t="s">
        <v>1681</v>
      </c>
    </row>
    <row r="347" spans="1:11" x14ac:dyDescent="0.2">
      <c r="A347" s="249" t="s">
        <v>1657</v>
      </c>
      <c r="B347" s="14" t="str">
        <f>Modeltabelle[[#This Row],[SAP Teile-bezeichnung]]</f>
        <v>VTPA245-050-01</v>
      </c>
      <c r="C347" s="14" t="s">
        <v>948</v>
      </c>
      <c r="D347" s="14" t="s">
        <v>61</v>
      </c>
      <c r="E347" s="17">
        <v>245</v>
      </c>
      <c r="F347" s="15"/>
      <c r="G347" s="19">
        <v>1050</v>
      </c>
      <c r="H347" s="19">
        <v>460</v>
      </c>
      <c r="I347" s="19" t="s">
        <v>4</v>
      </c>
      <c r="J347" s="19">
        <f t="shared" si="41"/>
        <v>1207.5</v>
      </c>
      <c r="K347" s="43" t="s">
        <v>1682</v>
      </c>
    </row>
    <row r="348" spans="1:11" x14ac:dyDescent="0.2">
      <c r="A348" s="249" t="s">
        <v>1422</v>
      </c>
      <c r="B348" s="14" t="str">
        <f>Modeltabelle[[#This Row],[SAP Teile-bezeichnung]]</f>
        <v>VTPA245-125-01</v>
      </c>
      <c r="C348" s="14" t="s">
        <v>948</v>
      </c>
      <c r="D348" s="14" t="s">
        <v>61</v>
      </c>
      <c r="E348" s="17">
        <v>245</v>
      </c>
      <c r="F348" s="15"/>
      <c r="G348" s="19">
        <v>1050</v>
      </c>
      <c r="H348" s="19">
        <v>460</v>
      </c>
      <c r="I348" s="19" t="s">
        <v>4</v>
      </c>
      <c r="J348" s="19">
        <f t="shared" si="41"/>
        <v>1207.5</v>
      </c>
      <c r="K348" s="43" t="s">
        <v>1423</v>
      </c>
    </row>
    <row r="349" spans="1:11" x14ac:dyDescent="0.2">
      <c r="A349" s="249" t="s">
        <v>1658</v>
      </c>
      <c r="B349" s="14" t="str">
        <f>Modeltabelle[[#This Row],[SAP Teile-bezeichnung]]</f>
        <v>VTPA245-167-01</v>
      </c>
      <c r="C349" s="14" t="s">
        <v>948</v>
      </c>
      <c r="D349" s="14" t="s">
        <v>61</v>
      </c>
      <c r="E349" s="17">
        <v>245</v>
      </c>
      <c r="F349" s="15"/>
      <c r="G349" s="19">
        <v>1050</v>
      </c>
      <c r="H349" s="19">
        <v>460</v>
      </c>
      <c r="I349" s="19" t="s">
        <v>4</v>
      </c>
      <c r="J349" s="19">
        <f t="shared" si="41"/>
        <v>1207.5</v>
      </c>
      <c r="K349" s="43" t="s">
        <v>1683</v>
      </c>
    </row>
    <row r="350" spans="1:11" x14ac:dyDescent="0.2">
      <c r="A350" s="249" t="s">
        <v>1659</v>
      </c>
      <c r="B350" s="14" t="str">
        <f>Modeltabelle[[#This Row],[SAP Teile-bezeichnung]]</f>
        <v>VTPA362-050-01</v>
      </c>
      <c r="C350" s="14" t="s">
        <v>952</v>
      </c>
      <c r="D350" s="14" t="s">
        <v>61</v>
      </c>
      <c r="E350" s="17">
        <v>362</v>
      </c>
      <c r="F350" s="15"/>
      <c r="G350" s="19">
        <v>1175</v>
      </c>
      <c r="H350" s="19">
        <v>460</v>
      </c>
      <c r="I350" s="19">
        <v>950</v>
      </c>
      <c r="J350" s="19">
        <f t="shared" si="41"/>
        <v>1351.25</v>
      </c>
      <c r="K350" s="43" t="s">
        <v>1684</v>
      </c>
    </row>
    <row r="351" spans="1:11" x14ac:dyDescent="0.2">
      <c r="A351" s="249" t="s">
        <v>1665</v>
      </c>
      <c r="B351" s="14" t="str">
        <f>Modeltabelle[[#This Row],[SAP Teile-bezeichnung]]</f>
        <v>VTPA362-100-01</v>
      </c>
      <c r="C351" s="14" t="s">
        <v>952</v>
      </c>
      <c r="D351" s="14" t="s">
        <v>61</v>
      </c>
      <c r="E351" s="17">
        <v>362</v>
      </c>
      <c r="F351" s="15"/>
      <c r="G351" s="19">
        <v>1175</v>
      </c>
      <c r="H351" s="19">
        <v>460</v>
      </c>
      <c r="I351" s="19">
        <v>950</v>
      </c>
      <c r="J351" s="19">
        <f t="shared" si="41"/>
        <v>1351.25</v>
      </c>
      <c r="K351" s="43" t="s">
        <v>1685</v>
      </c>
    </row>
    <row r="352" spans="1:11" x14ac:dyDescent="0.2">
      <c r="A352" s="249" t="s">
        <v>1595</v>
      </c>
      <c r="B352" s="14" t="str">
        <f>Modeltabelle[[#This Row],[SAP Teile-bezeichnung]]</f>
        <v>VTPA362-125-01</v>
      </c>
      <c r="C352" s="14" t="s">
        <v>952</v>
      </c>
      <c r="D352" s="14" t="s">
        <v>61</v>
      </c>
      <c r="E352" s="17">
        <v>362</v>
      </c>
      <c r="F352" s="15"/>
      <c r="G352" s="19">
        <v>1175</v>
      </c>
      <c r="H352" s="19">
        <v>460</v>
      </c>
      <c r="I352" s="19">
        <v>950</v>
      </c>
      <c r="J352" s="19">
        <f t="shared" si="41"/>
        <v>1351.25</v>
      </c>
      <c r="K352" s="43" t="s">
        <v>1596</v>
      </c>
    </row>
    <row r="353" spans="1:11" x14ac:dyDescent="0.2">
      <c r="A353" s="249" t="s">
        <v>1660</v>
      </c>
      <c r="B353" s="14" t="str">
        <f>Modeltabelle[[#This Row],[SAP Teile-bezeichnung]]</f>
        <v>VTPA362-167-01</v>
      </c>
      <c r="C353" s="14" t="s">
        <v>952</v>
      </c>
      <c r="D353" s="14" t="s">
        <v>61</v>
      </c>
      <c r="E353" s="17">
        <v>362</v>
      </c>
      <c r="F353" s="15"/>
      <c r="G353" s="19">
        <v>1175</v>
      </c>
      <c r="H353" s="19">
        <v>460</v>
      </c>
      <c r="I353" s="19">
        <v>950</v>
      </c>
      <c r="J353" s="19">
        <f t="shared" si="41"/>
        <v>1351.25</v>
      </c>
      <c r="K353" s="43" t="s">
        <v>1686</v>
      </c>
    </row>
    <row r="354" spans="1:11" x14ac:dyDescent="0.2">
      <c r="A354" s="249" t="s">
        <v>1661</v>
      </c>
      <c r="B354" s="14" t="str">
        <f>Modeltabelle[[#This Row],[SAP Teile-bezeichnung]]</f>
        <v>VTPA420-050-01</v>
      </c>
      <c r="C354" s="14" t="s">
        <v>957</v>
      </c>
      <c r="D354" s="14" t="s">
        <v>61</v>
      </c>
      <c r="E354" s="17">
        <v>420</v>
      </c>
      <c r="F354" s="15"/>
      <c r="G354" s="19">
        <v>1425</v>
      </c>
      <c r="H354" s="19">
        <v>630</v>
      </c>
      <c r="I354" s="19">
        <v>1050</v>
      </c>
      <c r="J354" s="19">
        <f t="shared" si="41"/>
        <v>1638.7499999999998</v>
      </c>
      <c r="K354" s="43" t="s">
        <v>1687</v>
      </c>
    </row>
    <row r="355" spans="1:11" x14ac:dyDescent="0.2">
      <c r="A355" s="249" t="s">
        <v>1662</v>
      </c>
      <c r="B355" s="14" t="str">
        <f>Modeltabelle[[#This Row],[SAP Teile-bezeichnung]]</f>
        <v>VTPA420-100-01</v>
      </c>
      <c r="C355" s="14" t="s">
        <v>957</v>
      </c>
      <c r="D355" s="14" t="s">
        <v>61</v>
      </c>
      <c r="E355" s="17">
        <v>420</v>
      </c>
      <c r="F355" s="15"/>
      <c r="G355" s="19">
        <v>1425</v>
      </c>
      <c r="H355" s="19">
        <v>630</v>
      </c>
      <c r="I355" s="19">
        <v>1050</v>
      </c>
      <c r="J355" s="19">
        <f t="shared" si="41"/>
        <v>1638.7499999999998</v>
      </c>
      <c r="K355" s="43" t="s">
        <v>1688</v>
      </c>
    </row>
    <row r="356" spans="1:11" x14ac:dyDescent="0.2">
      <c r="A356" s="249" t="s">
        <v>1663</v>
      </c>
      <c r="B356" s="14" t="str">
        <f>Modeltabelle[[#This Row],[SAP Teile-bezeichnung]]</f>
        <v>VTPA420-125-01</v>
      </c>
      <c r="C356" s="14" t="s">
        <v>957</v>
      </c>
      <c r="D356" s="14" t="s">
        <v>61</v>
      </c>
      <c r="E356" s="17">
        <v>420</v>
      </c>
      <c r="F356" s="15"/>
      <c r="G356" s="19">
        <v>1425</v>
      </c>
      <c r="H356" s="19">
        <v>630</v>
      </c>
      <c r="I356" s="19">
        <v>1050</v>
      </c>
      <c r="J356" s="19">
        <f t="shared" si="41"/>
        <v>1638.7499999999998</v>
      </c>
      <c r="K356" s="43" t="s">
        <v>1689</v>
      </c>
    </row>
    <row r="357" spans="1:11" x14ac:dyDescent="0.2">
      <c r="A357" s="249" t="s">
        <v>1664</v>
      </c>
      <c r="B357" s="14" t="str">
        <f>Modeltabelle[[#This Row],[SAP Teile-bezeichnung]]</f>
        <v>VTPA420-167-01</v>
      </c>
      <c r="C357" s="14" t="s">
        <v>957</v>
      </c>
      <c r="D357" s="14" t="s">
        <v>61</v>
      </c>
      <c r="E357" s="17">
        <v>420</v>
      </c>
      <c r="F357" s="15"/>
      <c r="G357" s="19">
        <v>1425</v>
      </c>
      <c r="H357" s="19">
        <v>630</v>
      </c>
      <c r="I357" s="19">
        <v>1050</v>
      </c>
      <c r="J357" s="19">
        <f t="shared" si="41"/>
        <v>1638.7499999999998</v>
      </c>
      <c r="K357" s="43" t="s">
        <v>1690</v>
      </c>
    </row>
    <row r="358" spans="1:11" x14ac:dyDescent="0.2">
      <c r="A358" s="249" t="s">
        <v>817</v>
      </c>
      <c r="B358" s="14" t="str">
        <f>Modeltabelle[[#This Row],[SAP Teile-bezeichnung]]</f>
        <v>OCT420-01</v>
      </c>
      <c r="C358" s="14" t="s">
        <v>1568</v>
      </c>
      <c r="D358" s="14" t="s">
        <v>969</v>
      </c>
      <c r="E358" s="17" t="s">
        <v>1456</v>
      </c>
      <c r="F358" s="15"/>
      <c r="G358" s="43"/>
      <c r="H358" s="43"/>
      <c r="I358" s="43"/>
      <c r="J358" s="43"/>
      <c r="K358" s="43" t="s">
        <v>1094</v>
      </c>
    </row>
    <row r="359" spans="1:11" x14ac:dyDescent="0.2">
      <c r="A359" s="249" t="s">
        <v>816</v>
      </c>
      <c r="B359" s="14" t="str">
        <f>Modeltabelle[[#This Row],[SAP Teile-bezeichnung]]</f>
        <v>OCT245-01</v>
      </c>
      <c r="C359" s="14" t="s">
        <v>1569</v>
      </c>
      <c r="D359" s="14" t="s">
        <v>969</v>
      </c>
      <c r="E359" s="17" t="s">
        <v>1454</v>
      </c>
      <c r="F359" s="15"/>
      <c r="G359" s="43"/>
      <c r="H359" s="43"/>
      <c r="I359" s="43"/>
      <c r="J359" s="43"/>
      <c r="K359" s="43" t="s">
        <v>1093</v>
      </c>
    </row>
    <row r="360" spans="1:11" x14ac:dyDescent="0.2">
      <c r="A360" s="249" t="s">
        <v>1570</v>
      </c>
      <c r="B360" s="14" t="str">
        <f>Modeltabelle[[#This Row],[SAP Teile-bezeichnung]]</f>
        <v>OCT145-01</v>
      </c>
      <c r="C360" s="14" t="s">
        <v>1571</v>
      </c>
      <c r="D360" s="14" t="s">
        <v>969</v>
      </c>
      <c r="E360" s="17" t="s">
        <v>1440</v>
      </c>
      <c r="F360" s="15"/>
      <c r="G360" s="43"/>
      <c r="H360" s="43"/>
      <c r="I360" s="43"/>
      <c r="J360" s="43"/>
      <c r="K360" s="43" t="s">
        <v>1572</v>
      </c>
    </row>
  </sheetData>
  <sortState xmlns:xlrd2="http://schemas.microsoft.com/office/spreadsheetml/2017/richdata2" ref="A2:D231">
    <sortCondition ref="B2:B231"/>
    <sortCondition ref="A2:A231"/>
  </sortState>
  <phoneticPr fontId="1" type="noConversion"/>
  <conditionalFormatting sqref="A361:A1048576 A247:A262 A1:A3 A177:A178 A14:A27 A94:A169 A210:A234 A189:A208 A29:A49 A264:A357 A236:A245 A56:A92">
    <cfRule type="duplicateValues" dxfId="300" priority="55"/>
  </conditionalFormatting>
  <conditionalFormatting sqref="A50">
    <cfRule type="duplicateValues" dxfId="299" priority="54"/>
  </conditionalFormatting>
  <conditionalFormatting sqref="A51">
    <cfRule type="duplicateValues" dxfId="298" priority="53"/>
  </conditionalFormatting>
  <conditionalFormatting sqref="A52">
    <cfRule type="duplicateValues" dxfId="297" priority="52"/>
  </conditionalFormatting>
  <conditionalFormatting sqref="A53:A55">
    <cfRule type="duplicateValues" dxfId="296" priority="51"/>
  </conditionalFormatting>
  <conditionalFormatting sqref="A246">
    <cfRule type="duplicateValues" dxfId="295" priority="50"/>
  </conditionalFormatting>
  <conditionalFormatting sqref="A263">
    <cfRule type="duplicateValues" dxfId="294" priority="45"/>
  </conditionalFormatting>
  <conditionalFormatting sqref="A170:A171">
    <cfRule type="duplicateValues" dxfId="293" priority="44"/>
  </conditionalFormatting>
  <conditionalFormatting sqref="A174">
    <cfRule type="duplicateValues" dxfId="292" priority="41"/>
  </conditionalFormatting>
  <conditionalFormatting sqref="A175">
    <cfRule type="duplicateValues" dxfId="291" priority="40"/>
  </conditionalFormatting>
  <conditionalFormatting sqref="A172">
    <cfRule type="duplicateValues" dxfId="290" priority="39"/>
  </conditionalFormatting>
  <conditionalFormatting sqref="A173">
    <cfRule type="duplicateValues" dxfId="289" priority="37"/>
  </conditionalFormatting>
  <conditionalFormatting sqref="A176">
    <cfRule type="duplicateValues" dxfId="288" priority="36"/>
  </conditionalFormatting>
  <conditionalFormatting sqref="A179 A181:A182 A184:A188">
    <cfRule type="duplicateValues" dxfId="287" priority="35"/>
  </conditionalFormatting>
  <conditionalFormatting sqref="A179">
    <cfRule type="duplicateValues" dxfId="286" priority="34"/>
  </conditionalFormatting>
  <conditionalFormatting sqref="A179">
    <cfRule type="duplicateValues" dxfId="285" priority="33"/>
  </conditionalFormatting>
  <conditionalFormatting sqref="A182">
    <cfRule type="duplicateValues" dxfId="284" priority="31"/>
  </conditionalFormatting>
  <conditionalFormatting sqref="A182">
    <cfRule type="duplicateValues" dxfId="283" priority="30"/>
  </conditionalFormatting>
  <conditionalFormatting sqref="A181">
    <cfRule type="duplicateValues" dxfId="282" priority="26"/>
  </conditionalFormatting>
  <conditionalFormatting sqref="A184:A185">
    <cfRule type="duplicateValues" dxfId="281" priority="23"/>
  </conditionalFormatting>
  <conditionalFormatting sqref="A181">
    <cfRule type="duplicateValues" dxfId="280" priority="22"/>
  </conditionalFormatting>
  <conditionalFormatting sqref="A181">
    <cfRule type="duplicateValues" dxfId="279" priority="21"/>
  </conditionalFormatting>
  <conditionalFormatting sqref="A186">
    <cfRule type="duplicateValues" dxfId="278" priority="16"/>
  </conditionalFormatting>
  <conditionalFormatting sqref="A184:A185">
    <cfRule type="duplicateValues" dxfId="277" priority="15"/>
  </conditionalFormatting>
  <conditionalFormatting sqref="A184:A185">
    <cfRule type="duplicateValues" dxfId="276" priority="14"/>
  </conditionalFormatting>
  <conditionalFormatting sqref="A180">
    <cfRule type="duplicateValues" dxfId="275" priority="13"/>
  </conditionalFormatting>
  <conditionalFormatting sqref="A183">
    <cfRule type="duplicateValues" dxfId="274" priority="12"/>
  </conditionalFormatting>
  <conditionalFormatting sqref="A12:A13">
    <cfRule type="duplicateValues" dxfId="273" priority="11"/>
  </conditionalFormatting>
  <conditionalFormatting sqref="A93">
    <cfRule type="duplicateValues" dxfId="272" priority="10"/>
  </conditionalFormatting>
  <conditionalFormatting sqref="A235">
    <cfRule type="duplicateValues" dxfId="271" priority="9"/>
  </conditionalFormatting>
  <conditionalFormatting sqref="A358">
    <cfRule type="duplicateValues" dxfId="270" priority="6"/>
  </conditionalFormatting>
  <conditionalFormatting sqref="A359">
    <cfRule type="duplicateValues" dxfId="269" priority="4"/>
  </conditionalFormatting>
  <conditionalFormatting sqref="A360">
    <cfRule type="duplicateValues" dxfId="268" priority="3"/>
  </conditionalFormatting>
  <conditionalFormatting sqref="A209">
    <cfRule type="duplicateValues" dxfId="267" priority="2"/>
  </conditionalFormatting>
  <conditionalFormatting sqref="A28">
    <cfRule type="duplicateValues" dxfId="266" priority="1"/>
  </conditionalFormatting>
  <pageMargins left="0.7" right="0.7" top="0.78740157499999996" bottom="0.78740157499999996" header="0.3" footer="0.3"/>
  <pageSetup paperSize="9" orientation="portrait" r:id="rId1"/>
  <headerFooter>
    <oddFooter>&amp;LIntern</oddFooter>
  </headerFooter>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4"/>
  <dimension ref="A2:D473"/>
  <sheetViews>
    <sheetView workbookViewId="0">
      <selection activeCell="L32" sqref="L32"/>
    </sheetView>
  </sheetViews>
  <sheetFormatPr baseColWidth="10" defaultColWidth="11" defaultRowHeight="14.25" x14ac:dyDescent="0.2"/>
  <sheetData>
    <row r="2" spans="1:4" x14ac:dyDescent="0.2">
      <c r="A2" s="14">
        <v>116</v>
      </c>
      <c r="B2" s="14"/>
      <c r="C2" s="14" t="s">
        <v>181</v>
      </c>
      <c r="D2" s="14"/>
    </row>
    <row r="3" spans="1:4" x14ac:dyDescent="0.2">
      <c r="A3" s="14">
        <v>150</v>
      </c>
      <c r="B3" s="14"/>
      <c r="C3" s="14" t="s">
        <v>181</v>
      </c>
      <c r="D3" s="14"/>
    </row>
    <row r="4" spans="1:4" x14ac:dyDescent="0.2">
      <c r="A4" s="14">
        <v>2297443</v>
      </c>
      <c r="B4" s="14"/>
      <c r="C4" s="14" t="s">
        <v>181</v>
      </c>
      <c r="D4" s="14" t="s">
        <v>182</v>
      </c>
    </row>
    <row r="5" spans="1:4" x14ac:dyDescent="0.2">
      <c r="A5" s="14">
        <v>20021501</v>
      </c>
      <c r="B5" s="14"/>
      <c r="C5" s="14" t="s">
        <v>181</v>
      </c>
      <c r="D5" s="14" t="s">
        <v>182</v>
      </c>
    </row>
    <row r="6" spans="1:4" x14ac:dyDescent="0.2">
      <c r="A6" s="14">
        <v>20021502</v>
      </c>
      <c r="B6" s="14"/>
      <c r="C6" s="14" t="s">
        <v>181</v>
      </c>
      <c r="D6" s="14" t="s">
        <v>182</v>
      </c>
    </row>
    <row r="7" spans="1:4" x14ac:dyDescent="0.2">
      <c r="A7" s="14">
        <v>20021503</v>
      </c>
      <c r="B7" s="14"/>
      <c r="C7" s="14" t="s">
        <v>181</v>
      </c>
      <c r="D7" s="14" t="s">
        <v>182</v>
      </c>
    </row>
    <row r="8" spans="1:4" x14ac:dyDescent="0.2">
      <c r="A8" s="14">
        <v>20021504</v>
      </c>
      <c r="B8" s="14"/>
      <c r="C8" s="14" t="s">
        <v>181</v>
      </c>
      <c r="D8" s="14" t="s">
        <v>182</v>
      </c>
    </row>
    <row r="9" spans="1:4" x14ac:dyDescent="0.2">
      <c r="A9" s="14">
        <v>20021506</v>
      </c>
      <c r="B9" s="14"/>
      <c r="C9" s="14" t="s">
        <v>181</v>
      </c>
      <c r="D9" s="14" t="s">
        <v>182</v>
      </c>
    </row>
    <row r="10" spans="1:4" x14ac:dyDescent="0.2">
      <c r="A10" s="14">
        <v>20037801</v>
      </c>
      <c r="B10" s="14"/>
      <c r="C10" s="14" t="s">
        <v>181</v>
      </c>
      <c r="D10" s="14" t="s">
        <v>182</v>
      </c>
    </row>
    <row r="11" spans="1:4" x14ac:dyDescent="0.2">
      <c r="A11" s="14">
        <v>20037802</v>
      </c>
      <c r="B11" s="14"/>
      <c r="C11" s="14" t="s">
        <v>181</v>
      </c>
      <c r="D11" s="14" t="s">
        <v>182</v>
      </c>
    </row>
    <row r="12" spans="1:4" x14ac:dyDescent="0.2">
      <c r="A12" s="14">
        <v>20037803</v>
      </c>
      <c r="B12" s="14"/>
      <c r="C12" s="14" t="s">
        <v>181</v>
      </c>
      <c r="D12" s="14" t="s">
        <v>182</v>
      </c>
    </row>
    <row r="13" spans="1:4" x14ac:dyDescent="0.2">
      <c r="A13" s="14">
        <v>20037804</v>
      </c>
      <c r="B13" s="14"/>
      <c r="C13" s="14" t="s">
        <v>181</v>
      </c>
      <c r="D13" s="14" t="s">
        <v>182</v>
      </c>
    </row>
    <row r="14" spans="1:4" x14ac:dyDescent="0.2">
      <c r="A14" s="14">
        <v>20037805</v>
      </c>
      <c r="B14" s="14"/>
      <c r="C14" s="14" t="s">
        <v>181</v>
      </c>
      <c r="D14" s="14" t="s">
        <v>182</v>
      </c>
    </row>
    <row r="15" spans="1:4" x14ac:dyDescent="0.2">
      <c r="A15" s="14">
        <v>20046701</v>
      </c>
      <c r="B15" s="14"/>
      <c r="C15" s="14" t="s">
        <v>181</v>
      </c>
      <c r="D15" s="14" t="s">
        <v>182</v>
      </c>
    </row>
    <row r="16" spans="1:4" x14ac:dyDescent="0.2">
      <c r="A16" s="14">
        <v>20046702</v>
      </c>
      <c r="B16" s="14"/>
      <c r="C16" s="14" t="s">
        <v>181</v>
      </c>
      <c r="D16" s="14" t="s">
        <v>182</v>
      </c>
    </row>
    <row r="17" spans="1:4" x14ac:dyDescent="0.2">
      <c r="A17" s="14">
        <v>20046702</v>
      </c>
      <c r="B17" s="14"/>
      <c r="C17" s="14" t="s">
        <v>181</v>
      </c>
      <c r="D17" s="14" t="s">
        <v>182</v>
      </c>
    </row>
    <row r="18" spans="1:4" x14ac:dyDescent="0.2">
      <c r="A18" s="14">
        <v>20053002</v>
      </c>
      <c r="B18" s="14"/>
      <c r="C18" s="14" t="s">
        <v>181</v>
      </c>
      <c r="D18" s="14" t="s">
        <v>182</v>
      </c>
    </row>
    <row r="19" spans="1:4" x14ac:dyDescent="0.2">
      <c r="A19" s="14">
        <v>20053003</v>
      </c>
      <c r="B19" s="14"/>
      <c r="C19" s="14" t="s">
        <v>181</v>
      </c>
      <c r="D19" s="14" t="s">
        <v>182</v>
      </c>
    </row>
    <row r="20" spans="1:4" x14ac:dyDescent="0.2">
      <c r="A20" s="14">
        <v>20059101</v>
      </c>
      <c r="B20" s="14"/>
      <c r="C20" s="14" t="s">
        <v>181</v>
      </c>
      <c r="D20" s="14" t="s">
        <v>182</v>
      </c>
    </row>
    <row r="21" spans="1:4" x14ac:dyDescent="0.2">
      <c r="A21" s="14">
        <v>20092801</v>
      </c>
      <c r="B21" s="14"/>
      <c r="C21" s="14" t="s">
        <v>181</v>
      </c>
      <c r="D21" s="14" t="s">
        <v>182</v>
      </c>
    </row>
    <row r="22" spans="1:4" x14ac:dyDescent="0.2">
      <c r="A22" s="14">
        <v>20124901</v>
      </c>
      <c r="B22" s="14"/>
      <c r="C22" s="14" t="s">
        <v>181</v>
      </c>
      <c r="D22" s="14" t="s">
        <v>182</v>
      </c>
    </row>
    <row r="23" spans="1:4" x14ac:dyDescent="0.2">
      <c r="A23" s="14">
        <v>20126101</v>
      </c>
      <c r="B23" s="14"/>
      <c r="C23" s="14" t="s">
        <v>181</v>
      </c>
      <c r="D23" s="14" t="s">
        <v>182</v>
      </c>
    </row>
    <row r="24" spans="1:4" x14ac:dyDescent="0.2">
      <c r="A24" s="14">
        <v>20137201</v>
      </c>
      <c r="B24" s="14"/>
      <c r="C24" s="14" t="s">
        <v>181</v>
      </c>
      <c r="D24" s="14" t="s">
        <v>182</v>
      </c>
    </row>
    <row r="25" spans="1:4" x14ac:dyDescent="0.2">
      <c r="A25" s="14">
        <v>20137202</v>
      </c>
      <c r="B25" s="14"/>
      <c r="C25" s="14" t="s">
        <v>181</v>
      </c>
      <c r="D25" s="14" t="s">
        <v>182</v>
      </c>
    </row>
    <row r="26" spans="1:4" x14ac:dyDescent="0.2">
      <c r="A26" s="14">
        <v>20314301</v>
      </c>
      <c r="B26" s="14"/>
      <c r="C26" s="14" t="s">
        <v>181</v>
      </c>
      <c r="D26" s="14" t="s">
        <v>182</v>
      </c>
    </row>
    <row r="27" spans="1:4" x14ac:dyDescent="0.2">
      <c r="A27" s="14">
        <v>20321601</v>
      </c>
      <c r="B27" s="14"/>
      <c r="C27" s="14" t="s">
        <v>181</v>
      </c>
      <c r="D27" s="14" t="s">
        <v>182</v>
      </c>
    </row>
    <row r="28" spans="1:4" x14ac:dyDescent="0.2">
      <c r="A28" s="14">
        <v>20321602</v>
      </c>
      <c r="B28" s="14"/>
      <c r="C28" s="14" t="s">
        <v>181</v>
      </c>
      <c r="D28" s="14" t="s">
        <v>182</v>
      </c>
    </row>
    <row r="29" spans="1:4" x14ac:dyDescent="0.2">
      <c r="A29" s="14">
        <v>20321603</v>
      </c>
      <c r="B29" s="14"/>
      <c r="C29" s="14" t="s">
        <v>181</v>
      </c>
      <c r="D29" s="14" t="s">
        <v>182</v>
      </c>
    </row>
    <row r="30" spans="1:4" x14ac:dyDescent="0.2">
      <c r="A30" s="14">
        <v>20321604</v>
      </c>
      <c r="B30" s="14"/>
      <c r="C30" s="14" t="s">
        <v>181</v>
      </c>
      <c r="D30" s="14" t="s">
        <v>182</v>
      </c>
    </row>
    <row r="31" spans="1:4" x14ac:dyDescent="0.2">
      <c r="A31" s="14">
        <v>20321605</v>
      </c>
      <c r="B31" s="14"/>
      <c r="C31" s="14" t="s">
        <v>181</v>
      </c>
      <c r="D31" s="14" t="s">
        <v>182</v>
      </c>
    </row>
    <row r="32" spans="1:4" x14ac:dyDescent="0.2">
      <c r="A32" s="14">
        <v>20334201</v>
      </c>
      <c r="B32" s="14"/>
      <c r="C32" s="14" t="s">
        <v>181</v>
      </c>
      <c r="D32" s="14" t="s">
        <v>182</v>
      </c>
    </row>
    <row r="33" spans="1:4" x14ac:dyDescent="0.2">
      <c r="A33" s="14">
        <v>20354901</v>
      </c>
      <c r="B33" s="14"/>
      <c r="C33" s="14" t="s">
        <v>181</v>
      </c>
      <c r="D33" s="14" t="s">
        <v>182</v>
      </c>
    </row>
    <row r="34" spans="1:4" x14ac:dyDescent="0.2">
      <c r="A34" s="14">
        <v>20355001</v>
      </c>
      <c r="B34" s="14"/>
      <c r="C34" s="14" t="s">
        <v>181</v>
      </c>
      <c r="D34" s="14" t="s">
        <v>182</v>
      </c>
    </row>
    <row r="35" spans="1:4" x14ac:dyDescent="0.2">
      <c r="A35" s="14">
        <v>20355401</v>
      </c>
      <c r="B35" s="14"/>
      <c r="C35" s="14" t="s">
        <v>181</v>
      </c>
      <c r="D35" s="14" t="s">
        <v>182</v>
      </c>
    </row>
    <row r="36" spans="1:4" x14ac:dyDescent="0.2">
      <c r="A36" s="14">
        <v>20377401</v>
      </c>
      <c r="B36" s="14"/>
      <c r="C36" s="14" t="s">
        <v>181</v>
      </c>
      <c r="D36" s="14" t="s">
        <v>182</v>
      </c>
    </row>
    <row r="37" spans="1:4" x14ac:dyDescent="0.2">
      <c r="A37" s="14">
        <v>20466701</v>
      </c>
      <c r="B37" s="14"/>
      <c r="C37" s="14" t="s">
        <v>181</v>
      </c>
      <c r="D37" s="14" t="s">
        <v>182</v>
      </c>
    </row>
    <row r="38" spans="1:4" x14ac:dyDescent="0.2">
      <c r="A38" s="14">
        <v>20466702</v>
      </c>
      <c r="B38" s="14"/>
      <c r="C38" s="14" t="s">
        <v>181</v>
      </c>
      <c r="D38" s="14" t="s">
        <v>182</v>
      </c>
    </row>
    <row r="39" spans="1:4" x14ac:dyDescent="0.2">
      <c r="A39" s="14">
        <v>20469801</v>
      </c>
      <c r="B39" s="14"/>
      <c r="C39" s="14" t="s">
        <v>181</v>
      </c>
      <c r="D39" s="14" t="s">
        <v>182</v>
      </c>
    </row>
    <row r="40" spans="1:4" x14ac:dyDescent="0.2">
      <c r="A40" s="14">
        <v>20469802</v>
      </c>
      <c r="B40" s="14"/>
      <c r="C40" s="14" t="s">
        <v>181</v>
      </c>
      <c r="D40" s="14" t="s">
        <v>182</v>
      </c>
    </row>
    <row r="41" spans="1:4" x14ac:dyDescent="0.2">
      <c r="A41" s="14">
        <v>20469804</v>
      </c>
      <c r="B41" s="14"/>
      <c r="C41" s="14" t="s">
        <v>181</v>
      </c>
      <c r="D41" s="14" t="s">
        <v>182</v>
      </c>
    </row>
    <row r="42" spans="1:4" x14ac:dyDescent="0.2">
      <c r="A42" s="14">
        <v>20469805</v>
      </c>
      <c r="B42" s="14"/>
      <c r="C42" s="14" t="s">
        <v>181</v>
      </c>
      <c r="D42" s="14" t="s">
        <v>182</v>
      </c>
    </row>
    <row r="43" spans="1:4" x14ac:dyDescent="0.2">
      <c r="A43" s="14">
        <v>20469806</v>
      </c>
      <c r="B43" s="14"/>
      <c r="C43" s="14" t="s">
        <v>181</v>
      </c>
      <c r="D43" s="14" t="s">
        <v>182</v>
      </c>
    </row>
    <row r="44" spans="1:4" x14ac:dyDescent="0.2">
      <c r="A44" s="14">
        <v>20483901</v>
      </c>
      <c r="B44" s="14"/>
      <c r="C44" s="14" t="s">
        <v>181</v>
      </c>
      <c r="D44" s="14" t="s">
        <v>182</v>
      </c>
    </row>
    <row r="45" spans="1:4" x14ac:dyDescent="0.2">
      <c r="A45" s="14">
        <v>20483902</v>
      </c>
      <c r="B45" s="14"/>
      <c r="C45" s="14" t="s">
        <v>181</v>
      </c>
      <c r="D45" s="14" t="s">
        <v>182</v>
      </c>
    </row>
    <row r="46" spans="1:4" x14ac:dyDescent="0.2">
      <c r="A46" s="14">
        <v>20483903</v>
      </c>
      <c r="B46" s="14"/>
      <c r="C46" s="14" t="s">
        <v>181</v>
      </c>
      <c r="D46" s="14" t="s">
        <v>182</v>
      </c>
    </row>
    <row r="47" spans="1:4" x14ac:dyDescent="0.2">
      <c r="A47" s="14">
        <v>20483903</v>
      </c>
      <c r="B47" s="14"/>
      <c r="C47" s="14" t="s">
        <v>181</v>
      </c>
      <c r="D47" s="14" t="s">
        <v>182</v>
      </c>
    </row>
    <row r="48" spans="1:4" x14ac:dyDescent="0.2">
      <c r="A48" s="14">
        <v>20483904</v>
      </c>
      <c r="B48" s="14"/>
      <c r="C48" s="14" t="s">
        <v>181</v>
      </c>
      <c r="D48" s="14" t="s">
        <v>182</v>
      </c>
    </row>
    <row r="49" spans="1:4" x14ac:dyDescent="0.2">
      <c r="A49" s="14">
        <v>20483905</v>
      </c>
      <c r="B49" s="14"/>
      <c r="C49" s="14" t="s">
        <v>181</v>
      </c>
      <c r="D49" s="14" t="s">
        <v>182</v>
      </c>
    </row>
    <row r="50" spans="1:4" x14ac:dyDescent="0.2">
      <c r="A50" s="14">
        <v>20483906</v>
      </c>
      <c r="B50" s="14"/>
      <c r="C50" s="14" t="s">
        <v>181</v>
      </c>
      <c r="D50" s="14" t="s">
        <v>182</v>
      </c>
    </row>
    <row r="51" spans="1:4" x14ac:dyDescent="0.2">
      <c r="A51" s="14">
        <v>20483907</v>
      </c>
      <c r="B51" s="14"/>
      <c r="C51" s="14" t="s">
        <v>181</v>
      </c>
      <c r="D51" s="14" t="s">
        <v>182</v>
      </c>
    </row>
    <row r="52" spans="1:4" x14ac:dyDescent="0.2">
      <c r="A52" s="14">
        <v>20483908</v>
      </c>
      <c r="B52" s="14"/>
      <c r="C52" s="14" t="s">
        <v>181</v>
      </c>
      <c r="D52" s="14" t="s">
        <v>182</v>
      </c>
    </row>
    <row r="53" spans="1:4" x14ac:dyDescent="0.2">
      <c r="A53" s="14">
        <v>20483909</v>
      </c>
      <c r="B53" s="14"/>
      <c r="C53" s="14" t="s">
        <v>181</v>
      </c>
      <c r="D53" s="14" t="s">
        <v>182</v>
      </c>
    </row>
    <row r="54" spans="1:4" x14ac:dyDescent="0.2">
      <c r="A54" s="14">
        <v>20483910</v>
      </c>
      <c r="B54" s="14"/>
      <c r="C54" s="14" t="s">
        <v>181</v>
      </c>
      <c r="D54" s="14" t="s">
        <v>182</v>
      </c>
    </row>
    <row r="55" spans="1:4" x14ac:dyDescent="0.2">
      <c r="A55" s="14">
        <v>20483911</v>
      </c>
      <c r="B55" s="14"/>
      <c r="C55" s="14" t="s">
        <v>181</v>
      </c>
      <c r="D55" s="14" t="s">
        <v>182</v>
      </c>
    </row>
    <row r="56" spans="1:4" x14ac:dyDescent="0.2">
      <c r="A56" s="14">
        <v>20483912</v>
      </c>
      <c r="B56" s="14"/>
      <c r="C56" s="14" t="s">
        <v>181</v>
      </c>
      <c r="D56" s="14" t="s">
        <v>182</v>
      </c>
    </row>
    <row r="57" spans="1:4" x14ac:dyDescent="0.2">
      <c r="A57" s="14">
        <v>20483913</v>
      </c>
      <c r="B57" s="14"/>
      <c r="C57" s="14" t="s">
        <v>181</v>
      </c>
      <c r="D57" s="14" t="s">
        <v>182</v>
      </c>
    </row>
    <row r="58" spans="1:4" x14ac:dyDescent="0.2">
      <c r="A58" s="14">
        <v>20483914</v>
      </c>
      <c r="B58" s="14"/>
      <c r="C58" s="14" t="s">
        <v>181</v>
      </c>
      <c r="D58" s="14" t="s">
        <v>182</v>
      </c>
    </row>
    <row r="59" spans="1:4" x14ac:dyDescent="0.2">
      <c r="A59" s="14">
        <v>20483915</v>
      </c>
      <c r="B59" s="14"/>
      <c r="C59" s="14" t="s">
        <v>181</v>
      </c>
      <c r="D59" s="14" t="s">
        <v>182</v>
      </c>
    </row>
    <row r="60" spans="1:4" x14ac:dyDescent="0.2">
      <c r="A60" s="14">
        <v>20483915</v>
      </c>
      <c r="B60" s="14"/>
      <c r="C60" s="14" t="s">
        <v>181</v>
      </c>
      <c r="D60" s="14" t="s">
        <v>182</v>
      </c>
    </row>
    <row r="61" spans="1:4" x14ac:dyDescent="0.2">
      <c r="A61" s="14">
        <v>20483916</v>
      </c>
      <c r="B61" s="14"/>
      <c r="C61" s="14" t="s">
        <v>181</v>
      </c>
      <c r="D61" s="14" t="s">
        <v>182</v>
      </c>
    </row>
    <row r="62" spans="1:4" x14ac:dyDescent="0.2">
      <c r="A62" s="14">
        <v>20483917</v>
      </c>
      <c r="B62" s="14"/>
      <c r="C62" s="14" t="s">
        <v>181</v>
      </c>
      <c r="D62" s="14" t="s">
        <v>182</v>
      </c>
    </row>
    <row r="63" spans="1:4" x14ac:dyDescent="0.2">
      <c r="A63" s="14">
        <v>20483918</v>
      </c>
      <c r="B63" s="14"/>
      <c r="C63" s="14" t="s">
        <v>181</v>
      </c>
      <c r="D63" s="14" t="s">
        <v>182</v>
      </c>
    </row>
    <row r="64" spans="1:4" x14ac:dyDescent="0.2">
      <c r="A64" s="14">
        <v>20501001</v>
      </c>
      <c r="B64" s="14"/>
      <c r="C64" s="14" t="s">
        <v>181</v>
      </c>
      <c r="D64" s="14" t="s">
        <v>182</v>
      </c>
    </row>
    <row r="65" spans="1:4" x14ac:dyDescent="0.2">
      <c r="A65" s="14">
        <v>20501002</v>
      </c>
      <c r="B65" s="14"/>
      <c r="C65" s="14" t="s">
        <v>181</v>
      </c>
      <c r="D65" s="14" t="s">
        <v>182</v>
      </c>
    </row>
    <row r="66" spans="1:4" x14ac:dyDescent="0.2">
      <c r="A66" s="14">
        <v>20501003</v>
      </c>
      <c r="B66" s="14"/>
      <c r="C66" s="14" t="s">
        <v>181</v>
      </c>
      <c r="D66" s="14" t="s">
        <v>182</v>
      </c>
    </row>
    <row r="67" spans="1:4" x14ac:dyDescent="0.2">
      <c r="A67" s="14">
        <v>20501003</v>
      </c>
      <c r="B67" s="14"/>
      <c r="C67" s="14" t="s">
        <v>181</v>
      </c>
      <c r="D67" s="14" t="s">
        <v>182</v>
      </c>
    </row>
    <row r="68" spans="1:4" x14ac:dyDescent="0.2">
      <c r="A68" s="14">
        <v>20501004</v>
      </c>
      <c r="B68" s="14"/>
      <c r="C68" s="14" t="s">
        <v>181</v>
      </c>
      <c r="D68" s="14" t="s">
        <v>182</v>
      </c>
    </row>
    <row r="69" spans="1:4" x14ac:dyDescent="0.2">
      <c r="A69" s="14">
        <v>20526601</v>
      </c>
      <c r="B69" s="14"/>
      <c r="C69" s="14" t="s">
        <v>181</v>
      </c>
      <c r="D69" s="14" t="s">
        <v>182</v>
      </c>
    </row>
    <row r="70" spans="1:4" x14ac:dyDescent="0.2">
      <c r="A70" s="14">
        <v>20526602</v>
      </c>
      <c r="B70" s="14"/>
      <c r="C70" s="14" t="s">
        <v>181</v>
      </c>
      <c r="D70" s="14" t="s">
        <v>182</v>
      </c>
    </row>
    <row r="71" spans="1:4" x14ac:dyDescent="0.2">
      <c r="A71" s="14">
        <v>20526603</v>
      </c>
      <c r="B71" s="14"/>
      <c r="C71" s="14" t="s">
        <v>181</v>
      </c>
      <c r="D71" s="14" t="s">
        <v>182</v>
      </c>
    </row>
    <row r="72" spans="1:4" x14ac:dyDescent="0.2">
      <c r="A72" s="14">
        <v>20530701</v>
      </c>
      <c r="B72" s="14"/>
      <c r="C72" s="14" t="s">
        <v>181</v>
      </c>
      <c r="D72" s="14" t="s">
        <v>182</v>
      </c>
    </row>
    <row r="73" spans="1:4" x14ac:dyDescent="0.2">
      <c r="A73" s="14">
        <v>20530702</v>
      </c>
      <c r="B73" s="14"/>
      <c r="C73" s="14" t="s">
        <v>181</v>
      </c>
      <c r="D73" s="14" t="s">
        <v>182</v>
      </c>
    </row>
    <row r="74" spans="1:4" x14ac:dyDescent="0.2">
      <c r="A74" s="14">
        <v>20546501</v>
      </c>
      <c r="B74" s="14"/>
      <c r="C74" s="14" t="s">
        <v>181</v>
      </c>
      <c r="D74" s="14" t="s">
        <v>182</v>
      </c>
    </row>
    <row r="75" spans="1:4" x14ac:dyDescent="0.2">
      <c r="A75" s="14">
        <v>20546502</v>
      </c>
      <c r="B75" s="14"/>
      <c r="C75" s="14" t="s">
        <v>181</v>
      </c>
      <c r="D75" s="14" t="s">
        <v>182</v>
      </c>
    </row>
    <row r="76" spans="1:4" x14ac:dyDescent="0.2">
      <c r="A76" s="14">
        <v>20546503</v>
      </c>
      <c r="B76" s="14"/>
      <c r="C76" s="14" t="s">
        <v>181</v>
      </c>
      <c r="D76" s="14" t="s">
        <v>182</v>
      </c>
    </row>
    <row r="77" spans="1:4" x14ac:dyDescent="0.2">
      <c r="A77" s="14">
        <v>20546504</v>
      </c>
      <c r="B77" s="14"/>
      <c r="C77" s="14" t="s">
        <v>181</v>
      </c>
      <c r="D77" s="14" t="s">
        <v>182</v>
      </c>
    </row>
    <row r="78" spans="1:4" x14ac:dyDescent="0.2">
      <c r="A78" s="14">
        <v>20546505</v>
      </c>
      <c r="B78" s="14"/>
      <c r="C78" s="14" t="s">
        <v>181</v>
      </c>
      <c r="D78" s="14" t="s">
        <v>182</v>
      </c>
    </row>
    <row r="79" spans="1:4" x14ac:dyDescent="0.2">
      <c r="A79" s="14">
        <v>20546506</v>
      </c>
      <c r="B79" s="14"/>
      <c r="C79" s="14" t="s">
        <v>181</v>
      </c>
      <c r="D79" s="14" t="s">
        <v>182</v>
      </c>
    </row>
    <row r="80" spans="1:4" x14ac:dyDescent="0.2">
      <c r="A80" s="14">
        <v>20546507</v>
      </c>
      <c r="B80" s="14"/>
      <c r="C80" s="14" t="s">
        <v>181</v>
      </c>
      <c r="D80" s="14" t="s">
        <v>182</v>
      </c>
    </row>
    <row r="81" spans="1:4" x14ac:dyDescent="0.2">
      <c r="A81" s="14">
        <v>20546509</v>
      </c>
      <c r="B81" s="14"/>
      <c r="C81" s="14" t="s">
        <v>181</v>
      </c>
      <c r="D81" s="14" t="s">
        <v>182</v>
      </c>
    </row>
    <row r="82" spans="1:4" x14ac:dyDescent="0.2">
      <c r="A82" s="14">
        <v>20546510</v>
      </c>
      <c r="B82" s="14"/>
      <c r="C82" s="14" t="s">
        <v>181</v>
      </c>
      <c r="D82" s="14" t="s">
        <v>182</v>
      </c>
    </row>
    <row r="83" spans="1:4" x14ac:dyDescent="0.2">
      <c r="A83" s="14">
        <v>20546511</v>
      </c>
      <c r="B83" s="14"/>
      <c r="C83" s="14" t="s">
        <v>181</v>
      </c>
      <c r="D83" s="14" t="s">
        <v>182</v>
      </c>
    </row>
    <row r="84" spans="1:4" x14ac:dyDescent="0.2">
      <c r="A84" s="14">
        <v>20546512</v>
      </c>
      <c r="B84" s="14"/>
      <c r="C84" s="14" t="s">
        <v>181</v>
      </c>
      <c r="D84" s="14" t="s">
        <v>182</v>
      </c>
    </row>
    <row r="85" spans="1:4" x14ac:dyDescent="0.2">
      <c r="A85" s="14">
        <v>20546513</v>
      </c>
      <c r="B85" s="14"/>
      <c r="C85" s="14" t="s">
        <v>181</v>
      </c>
      <c r="D85" s="14" t="s">
        <v>182</v>
      </c>
    </row>
    <row r="86" spans="1:4" x14ac:dyDescent="0.2">
      <c r="A86" s="14">
        <v>20546514</v>
      </c>
      <c r="B86" s="14"/>
      <c r="C86" s="14" t="s">
        <v>181</v>
      </c>
      <c r="D86" s="14" t="s">
        <v>182</v>
      </c>
    </row>
    <row r="87" spans="1:4" x14ac:dyDescent="0.2">
      <c r="A87" s="14">
        <v>20546515</v>
      </c>
      <c r="B87" s="14"/>
      <c r="C87" s="14" t="s">
        <v>181</v>
      </c>
      <c r="D87" s="14" t="s">
        <v>182</v>
      </c>
    </row>
    <row r="88" spans="1:4" x14ac:dyDescent="0.2">
      <c r="A88" s="14">
        <v>20546516</v>
      </c>
      <c r="B88" s="14"/>
      <c r="C88" s="14" t="s">
        <v>181</v>
      </c>
      <c r="D88" s="14" t="s">
        <v>182</v>
      </c>
    </row>
    <row r="89" spans="1:4" x14ac:dyDescent="0.2">
      <c r="A89" s="14">
        <v>20546517</v>
      </c>
      <c r="B89" s="14"/>
      <c r="C89" s="14" t="s">
        <v>181</v>
      </c>
      <c r="D89" s="14" t="s">
        <v>182</v>
      </c>
    </row>
    <row r="90" spans="1:4" x14ac:dyDescent="0.2">
      <c r="A90" s="14">
        <v>20573301</v>
      </c>
      <c r="B90" s="14"/>
      <c r="C90" s="14" t="s">
        <v>181</v>
      </c>
      <c r="D90" s="14" t="s">
        <v>182</v>
      </c>
    </row>
    <row r="91" spans="1:4" x14ac:dyDescent="0.2">
      <c r="A91" s="14">
        <v>20573302</v>
      </c>
      <c r="B91" s="14"/>
      <c r="C91" s="14" t="s">
        <v>181</v>
      </c>
      <c r="D91" s="14" t="s">
        <v>182</v>
      </c>
    </row>
    <row r="92" spans="1:4" x14ac:dyDescent="0.2">
      <c r="A92" s="14">
        <v>20573303</v>
      </c>
      <c r="B92" s="14"/>
      <c r="C92" s="14" t="s">
        <v>181</v>
      </c>
      <c r="D92" s="14" t="s">
        <v>182</v>
      </c>
    </row>
    <row r="93" spans="1:4" x14ac:dyDescent="0.2">
      <c r="A93" s="14">
        <v>20573304</v>
      </c>
      <c r="B93" s="14"/>
      <c r="C93" s="14" t="s">
        <v>181</v>
      </c>
      <c r="D93" s="14" t="s">
        <v>182</v>
      </c>
    </row>
    <row r="94" spans="1:4" x14ac:dyDescent="0.2">
      <c r="A94" s="14">
        <v>20573305</v>
      </c>
      <c r="B94" s="14"/>
      <c r="C94" s="14" t="s">
        <v>181</v>
      </c>
      <c r="D94" s="14" t="s">
        <v>182</v>
      </c>
    </row>
    <row r="95" spans="1:4" x14ac:dyDescent="0.2">
      <c r="A95" s="14">
        <v>20575101</v>
      </c>
      <c r="B95" s="14"/>
      <c r="C95" s="14" t="s">
        <v>181</v>
      </c>
      <c r="D95" s="14" t="s">
        <v>182</v>
      </c>
    </row>
    <row r="96" spans="1:4" x14ac:dyDescent="0.2">
      <c r="A96" s="14">
        <v>20575102</v>
      </c>
      <c r="B96" s="14"/>
      <c r="C96" s="14" t="s">
        <v>181</v>
      </c>
      <c r="D96" s="14" t="s">
        <v>182</v>
      </c>
    </row>
    <row r="97" spans="1:4" x14ac:dyDescent="0.2">
      <c r="A97" s="14">
        <v>20575103</v>
      </c>
      <c r="B97" s="14"/>
      <c r="C97" s="14" t="s">
        <v>181</v>
      </c>
      <c r="D97" s="14" t="s">
        <v>182</v>
      </c>
    </row>
    <row r="98" spans="1:4" x14ac:dyDescent="0.2">
      <c r="A98" s="14">
        <v>20589602</v>
      </c>
      <c r="B98" s="14"/>
      <c r="C98" s="14" t="s">
        <v>181</v>
      </c>
      <c r="D98" s="14" t="s">
        <v>182</v>
      </c>
    </row>
    <row r="99" spans="1:4" x14ac:dyDescent="0.2">
      <c r="A99" s="14">
        <v>20589603</v>
      </c>
      <c r="B99" s="14"/>
      <c r="C99" s="14" t="s">
        <v>181</v>
      </c>
      <c r="D99" s="14" t="s">
        <v>182</v>
      </c>
    </row>
    <row r="100" spans="1:4" x14ac:dyDescent="0.2">
      <c r="A100" s="14">
        <v>20589604</v>
      </c>
      <c r="B100" s="14"/>
      <c r="C100" s="14" t="s">
        <v>181</v>
      </c>
      <c r="D100" s="14" t="s">
        <v>182</v>
      </c>
    </row>
    <row r="101" spans="1:4" x14ac:dyDescent="0.2">
      <c r="A101" s="14">
        <v>20590101</v>
      </c>
      <c r="B101" s="14"/>
      <c r="C101" s="14" t="s">
        <v>181</v>
      </c>
      <c r="D101" s="14" t="s">
        <v>182</v>
      </c>
    </row>
    <row r="102" spans="1:4" x14ac:dyDescent="0.2">
      <c r="A102" s="14">
        <v>20594401</v>
      </c>
      <c r="B102" s="14"/>
      <c r="C102" s="14" t="s">
        <v>181</v>
      </c>
      <c r="D102" s="14" t="s">
        <v>182</v>
      </c>
    </row>
    <row r="103" spans="1:4" x14ac:dyDescent="0.2">
      <c r="A103" s="14">
        <v>20599901</v>
      </c>
      <c r="B103" s="14"/>
      <c r="C103" s="14" t="s">
        <v>181</v>
      </c>
      <c r="D103" s="14" t="s">
        <v>182</v>
      </c>
    </row>
    <row r="104" spans="1:4" x14ac:dyDescent="0.2">
      <c r="A104" s="14">
        <v>20599901</v>
      </c>
      <c r="B104" s="14"/>
      <c r="C104" s="14" t="s">
        <v>181</v>
      </c>
      <c r="D104" s="14" t="s">
        <v>182</v>
      </c>
    </row>
    <row r="105" spans="1:4" x14ac:dyDescent="0.2">
      <c r="A105" s="14">
        <v>20624201</v>
      </c>
      <c r="B105" s="14"/>
      <c r="C105" s="14" t="s">
        <v>181</v>
      </c>
      <c r="D105" s="14" t="s">
        <v>182</v>
      </c>
    </row>
    <row r="106" spans="1:4" x14ac:dyDescent="0.2">
      <c r="A106" s="14">
        <v>20719802</v>
      </c>
      <c r="B106" s="14"/>
      <c r="C106" s="14" t="s">
        <v>181</v>
      </c>
      <c r="D106" s="14" t="s">
        <v>182</v>
      </c>
    </row>
    <row r="107" spans="1:4" x14ac:dyDescent="0.2">
      <c r="A107" s="14">
        <v>20719803</v>
      </c>
      <c r="B107" s="14"/>
      <c r="C107" s="14" t="s">
        <v>181</v>
      </c>
      <c r="D107" s="14" t="s">
        <v>182</v>
      </c>
    </row>
    <row r="108" spans="1:4" x14ac:dyDescent="0.2">
      <c r="A108" s="14">
        <v>20719806</v>
      </c>
      <c r="B108" s="14"/>
      <c r="C108" s="14" t="s">
        <v>181</v>
      </c>
      <c r="D108" s="14" t="s">
        <v>182</v>
      </c>
    </row>
    <row r="109" spans="1:4" x14ac:dyDescent="0.2">
      <c r="A109" s="14">
        <v>20719807</v>
      </c>
      <c r="B109" s="14"/>
      <c r="C109" s="14" t="s">
        <v>181</v>
      </c>
      <c r="D109" s="14" t="s">
        <v>182</v>
      </c>
    </row>
    <row r="110" spans="1:4" x14ac:dyDescent="0.2">
      <c r="A110" s="14">
        <v>20719810</v>
      </c>
      <c r="B110" s="14"/>
      <c r="C110" s="14" t="s">
        <v>181</v>
      </c>
      <c r="D110" s="14" t="s">
        <v>182</v>
      </c>
    </row>
    <row r="111" spans="1:4" x14ac:dyDescent="0.2">
      <c r="A111" s="14">
        <v>20719811</v>
      </c>
      <c r="B111" s="14"/>
      <c r="C111" s="14" t="s">
        <v>181</v>
      </c>
      <c r="D111" s="14" t="s">
        <v>182</v>
      </c>
    </row>
    <row r="112" spans="1:4" x14ac:dyDescent="0.2">
      <c r="A112" s="14">
        <v>20719812</v>
      </c>
      <c r="B112" s="14"/>
      <c r="C112" s="14" t="s">
        <v>181</v>
      </c>
      <c r="D112" s="14" t="s">
        <v>182</v>
      </c>
    </row>
    <row r="113" spans="1:4" x14ac:dyDescent="0.2">
      <c r="A113" s="14">
        <v>20719815</v>
      </c>
      <c r="B113" s="14"/>
      <c r="C113" s="14" t="s">
        <v>181</v>
      </c>
      <c r="D113" s="14" t="s">
        <v>182</v>
      </c>
    </row>
    <row r="114" spans="1:4" x14ac:dyDescent="0.2">
      <c r="A114" s="14">
        <v>20719816</v>
      </c>
      <c r="B114" s="14"/>
      <c r="C114" s="14" t="s">
        <v>181</v>
      </c>
      <c r="D114" s="14" t="s">
        <v>182</v>
      </c>
    </row>
    <row r="115" spans="1:4" x14ac:dyDescent="0.2">
      <c r="A115" s="14">
        <v>20719817</v>
      </c>
      <c r="B115" s="14"/>
      <c r="C115" s="14" t="s">
        <v>181</v>
      </c>
      <c r="D115" s="14" t="s">
        <v>182</v>
      </c>
    </row>
    <row r="116" spans="1:4" x14ac:dyDescent="0.2">
      <c r="A116" s="14">
        <v>20719818</v>
      </c>
      <c r="B116" s="14"/>
      <c r="C116" s="14" t="s">
        <v>181</v>
      </c>
      <c r="D116" s="14" t="s">
        <v>182</v>
      </c>
    </row>
    <row r="117" spans="1:4" x14ac:dyDescent="0.2">
      <c r="A117" s="14">
        <v>20719819</v>
      </c>
      <c r="B117" s="14"/>
      <c r="C117" s="14" t="s">
        <v>181</v>
      </c>
      <c r="D117" s="14" t="s">
        <v>182</v>
      </c>
    </row>
    <row r="118" spans="1:4" x14ac:dyDescent="0.2">
      <c r="A118" s="14">
        <v>20719820</v>
      </c>
      <c r="B118" s="14"/>
      <c r="C118" s="14" t="s">
        <v>181</v>
      </c>
      <c r="D118" s="14" t="s">
        <v>182</v>
      </c>
    </row>
    <row r="119" spans="1:4" x14ac:dyDescent="0.2">
      <c r="A119" s="14">
        <v>20817601</v>
      </c>
      <c r="B119" s="14"/>
      <c r="C119" s="14" t="s">
        <v>181</v>
      </c>
      <c r="D119" s="14" t="s">
        <v>182</v>
      </c>
    </row>
    <row r="120" spans="1:4" x14ac:dyDescent="0.2">
      <c r="A120" s="14">
        <v>20835201</v>
      </c>
      <c r="B120" s="14"/>
      <c r="C120" s="14" t="s">
        <v>181</v>
      </c>
      <c r="D120" s="14" t="s">
        <v>182</v>
      </c>
    </row>
    <row r="121" spans="1:4" x14ac:dyDescent="0.2">
      <c r="A121" s="14">
        <v>20836301</v>
      </c>
      <c r="B121" s="14"/>
      <c r="C121" s="14" t="s">
        <v>181</v>
      </c>
      <c r="D121" s="14" t="s">
        <v>182</v>
      </c>
    </row>
    <row r="122" spans="1:4" x14ac:dyDescent="0.2">
      <c r="A122" s="14">
        <v>20838301</v>
      </c>
      <c r="B122" s="14"/>
      <c r="C122" s="14" t="s">
        <v>181</v>
      </c>
      <c r="D122" s="14" t="s">
        <v>182</v>
      </c>
    </row>
    <row r="123" spans="1:4" x14ac:dyDescent="0.2">
      <c r="A123" s="14">
        <v>20838301</v>
      </c>
      <c r="B123" s="14"/>
      <c r="C123" s="14" t="s">
        <v>181</v>
      </c>
      <c r="D123" s="14" t="s">
        <v>182</v>
      </c>
    </row>
    <row r="124" spans="1:4" x14ac:dyDescent="0.2">
      <c r="A124" s="14">
        <v>20838302</v>
      </c>
      <c r="B124" s="14"/>
      <c r="C124" s="14" t="s">
        <v>181</v>
      </c>
      <c r="D124" s="14" t="s">
        <v>182</v>
      </c>
    </row>
    <row r="125" spans="1:4" x14ac:dyDescent="0.2">
      <c r="A125" s="14">
        <v>20838303</v>
      </c>
      <c r="B125" s="14"/>
      <c r="C125" s="14" t="s">
        <v>181</v>
      </c>
      <c r="D125" s="14" t="s">
        <v>182</v>
      </c>
    </row>
    <row r="126" spans="1:4" x14ac:dyDescent="0.2">
      <c r="A126" s="14">
        <v>20838304</v>
      </c>
      <c r="B126" s="14"/>
      <c r="C126" s="14" t="s">
        <v>181</v>
      </c>
      <c r="D126" s="14" t="s">
        <v>182</v>
      </c>
    </row>
    <row r="127" spans="1:4" x14ac:dyDescent="0.2">
      <c r="A127" s="14">
        <v>20838305</v>
      </c>
      <c r="B127" s="14"/>
      <c r="C127" s="14" t="s">
        <v>181</v>
      </c>
      <c r="D127" s="14" t="s">
        <v>182</v>
      </c>
    </row>
    <row r="128" spans="1:4" x14ac:dyDescent="0.2">
      <c r="A128" s="14">
        <v>20838306</v>
      </c>
      <c r="B128" s="14"/>
      <c r="C128" s="14" t="s">
        <v>181</v>
      </c>
      <c r="D128" s="14" t="s">
        <v>182</v>
      </c>
    </row>
    <row r="129" spans="1:4" x14ac:dyDescent="0.2">
      <c r="A129" s="14">
        <v>20838307</v>
      </c>
      <c r="B129" s="14"/>
      <c r="C129" s="14" t="s">
        <v>181</v>
      </c>
      <c r="D129" s="14" t="s">
        <v>182</v>
      </c>
    </row>
    <row r="130" spans="1:4" x14ac:dyDescent="0.2">
      <c r="A130" s="14">
        <v>20838308</v>
      </c>
      <c r="B130" s="14"/>
      <c r="C130" s="14" t="s">
        <v>181</v>
      </c>
      <c r="D130" s="14" t="s">
        <v>182</v>
      </c>
    </row>
    <row r="131" spans="1:4" x14ac:dyDescent="0.2">
      <c r="A131" s="14">
        <v>20838309</v>
      </c>
      <c r="B131" s="14"/>
      <c r="C131" s="14" t="s">
        <v>181</v>
      </c>
      <c r="D131" s="14" t="s">
        <v>182</v>
      </c>
    </row>
    <row r="132" spans="1:4" x14ac:dyDescent="0.2">
      <c r="A132" s="14">
        <v>20838310</v>
      </c>
      <c r="B132" s="14"/>
      <c r="C132" s="14" t="s">
        <v>181</v>
      </c>
      <c r="D132" s="14" t="s">
        <v>182</v>
      </c>
    </row>
    <row r="133" spans="1:4" x14ac:dyDescent="0.2">
      <c r="A133" s="14">
        <v>20838311</v>
      </c>
      <c r="B133" s="14"/>
      <c r="C133" s="14" t="s">
        <v>181</v>
      </c>
      <c r="D133" s="14" t="s">
        <v>182</v>
      </c>
    </row>
    <row r="134" spans="1:4" x14ac:dyDescent="0.2">
      <c r="A134" s="14">
        <v>20838312</v>
      </c>
      <c r="B134" s="14"/>
      <c r="C134" s="14" t="s">
        <v>181</v>
      </c>
      <c r="D134" s="14" t="s">
        <v>182</v>
      </c>
    </row>
    <row r="135" spans="1:4" x14ac:dyDescent="0.2">
      <c r="A135" s="14">
        <v>20838313</v>
      </c>
      <c r="B135" s="14"/>
      <c r="C135" s="14" t="s">
        <v>181</v>
      </c>
      <c r="D135" s="14" t="s">
        <v>182</v>
      </c>
    </row>
    <row r="136" spans="1:4" x14ac:dyDescent="0.2">
      <c r="A136" s="14">
        <v>20838315</v>
      </c>
      <c r="B136" s="14"/>
      <c r="C136" s="14" t="s">
        <v>181</v>
      </c>
      <c r="D136" s="14" t="s">
        <v>182</v>
      </c>
    </row>
    <row r="137" spans="1:4" x14ac:dyDescent="0.2">
      <c r="A137" s="14">
        <v>20838316</v>
      </c>
      <c r="B137" s="14"/>
      <c r="C137" s="14" t="s">
        <v>181</v>
      </c>
      <c r="D137" s="14" t="s">
        <v>182</v>
      </c>
    </row>
    <row r="138" spans="1:4" x14ac:dyDescent="0.2">
      <c r="A138" s="14">
        <v>20838317</v>
      </c>
      <c r="B138" s="14"/>
      <c r="C138" s="14" t="s">
        <v>181</v>
      </c>
      <c r="D138" s="14" t="s">
        <v>182</v>
      </c>
    </row>
    <row r="139" spans="1:4" x14ac:dyDescent="0.2">
      <c r="A139" s="14">
        <v>20873501</v>
      </c>
      <c r="B139" s="14"/>
      <c r="C139" s="14" t="s">
        <v>181</v>
      </c>
      <c r="D139" s="14" t="s">
        <v>182</v>
      </c>
    </row>
    <row r="140" spans="1:4" x14ac:dyDescent="0.2">
      <c r="A140" s="14">
        <v>20873502</v>
      </c>
      <c r="B140" s="14"/>
      <c r="C140" s="14" t="s">
        <v>181</v>
      </c>
      <c r="D140" s="14" t="s">
        <v>182</v>
      </c>
    </row>
    <row r="141" spans="1:4" x14ac:dyDescent="0.2">
      <c r="A141" s="14">
        <v>20877101</v>
      </c>
      <c r="B141" s="14"/>
      <c r="C141" s="14" t="s">
        <v>181</v>
      </c>
      <c r="D141" s="14" t="s">
        <v>182</v>
      </c>
    </row>
    <row r="142" spans="1:4" x14ac:dyDescent="0.2">
      <c r="A142" s="14">
        <v>20925001</v>
      </c>
      <c r="B142" s="14"/>
      <c r="C142" s="14" t="s">
        <v>181</v>
      </c>
      <c r="D142" s="14" t="s">
        <v>182</v>
      </c>
    </row>
    <row r="143" spans="1:4" x14ac:dyDescent="0.2">
      <c r="A143" s="14">
        <v>20925002</v>
      </c>
      <c r="B143" s="14"/>
      <c r="C143" s="14" t="s">
        <v>181</v>
      </c>
      <c r="D143" s="14" t="s">
        <v>182</v>
      </c>
    </row>
    <row r="144" spans="1:4" x14ac:dyDescent="0.2">
      <c r="A144" s="14">
        <v>20925004</v>
      </c>
      <c r="B144" s="14"/>
      <c r="C144" s="14" t="s">
        <v>181</v>
      </c>
      <c r="D144" s="14" t="s">
        <v>182</v>
      </c>
    </row>
    <row r="145" spans="1:4" x14ac:dyDescent="0.2">
      <c r="A145" s="14">
        <v>20925005</v>
      </c>
      <c r="B145" s="14"/>
      <c r="C145" s="14" t="s">
        <v>181</v>
      </c>
      <c r="D145" s="14" t="s">
        <v>182</v>
      </c>
    </row>
    <row r="146" spans="1:4" x14ac:dyDescent="0.2">
      <c r="A146" s="14">
        <v>20925006</v>
      </c>
      <c r="B146" s="14"/>
      <c r="C146" s="14" t="s">
        <v>181</v>
      </c>
      <c r="D146" s="14" t="s">
        <v>182</v>
      </c>
    </row>
    <row r="147" spans="1:4" x14ac:dyDescent="0.2">
      <c r="A147" s="14">
        <v>20925007</v>
      </c>
      <c r="B147" s="14"/>
      <c r="C147" s="14" t="s">
        <v>181</v>
      </c>
      <c r="D147" s="14" t="s">
        <v>182</v>
      </c>
    </row>
    <row r="148" spans="1:4" x14ac:dyDescent="0.2">
      <c r="A148" s="14">
        <v>20925008</v>
      </c>
      <c r="B148" s="14"/>
      <c r="C148" s="14" t="s">
        <v>181</v>
      </c>
      <c r="D148" s="14" t="s">
        <v>182</v>
      </c>
    </row>
    <row r="149" spans="1:4" x14ac:dyDescent="0.2">
      <c r="A149" s="14">
        <v>20925009</v>
      </c>
      <c r="B149" s="14"/>
      <c r="C149" s="14" t="s">
        <v>181</v>
      </c>
      <c r="D149" s="14" t="s">
        <v>182</v>
      </c>
    </row>
    <row r="150" spans="1:4" x14ac:dyDescent="0.2">
      <c r="A150" s="14">
        <v>20925010</v>
      </c>
      <c r="B150" s="14"/>
      <c r="C150" s="14" t="s">
        <v>181</v>
      </c>
      <c r="D150" s="14" t="s">
        <v>182</v>
      </c>
    </row>
    <row r="151" spans="1:4" x14ac:dyDescent="0.2">
      <c r="A151" s="14">
        <v>20966601</v>
      </c>
      <c r="B151" s="14"/>
      <c r="C151" s="14" t="s">
        <v>181</v>
      </c>
      <c r="D151" s="14" t="s">
        <v>182</v>
      </c>
    </row>
    <row r="152" spans="1:4" x14ac:dyDescent="0.2">
      <c r="A152" s="14">
        <v>20966602</v>
      </c>
      <c r="B152" s="14"/>
      <c r="C152" s="14" t="s">
        <v>181</v>
      </c>
      <c r="D152" s="14" t="s">
        <v>182</v>
      </c>
    </row>
    <row r="153" spans="1:4" x14ac:dyDescent="0.2">
      <c r="A153" s="14">
        <v>20966603</v>
      </c>
      <c r="B153" s="14"/>
      <c r="C153" s="14" t="s">
        <v>181</v>
      </c>
      <c r="D153" s="14" t="s">
        <v>182</v>
      </c>
    </row>
    <row r="154" spans="1:4" x14ac:dyDescent="0.2">
      <c r="A154" s="14">
        <v>20966604</v>
      </c>
      <c r="B154" s="14"/>
      <c r="C154" s="14" t="s">
        <v>181</v>
      </c>
      <c r="D154" s="14" t="s">
        <v>182</v>
      </c>
    </row>
    <row r="155" spans="1:4" x14ac:dyDescent="0.2">
      <c r="A155" s="14">
        <v>20966604</v>
      </c>
      <c r="B155" s="14"/>
      <c r="C155" s="14" t="s">
        <v>181</v>
      </c>
      <c r="D155" s="14" t="s">
        <v>182</v>
      </c>
    </row>
    <row r="156" spans="1:4" x14ac:dyDescent="0.2">
      <c r="A156" s="14">
        <v>20966605</v>
      </c>
      <c r="B156" s="14"/>
      <c r="C156" s="14" t="s">
        <v>181</v>
      </c>
      <c r="D156" s="14" t="s">
        <v>182</v>
      </c>
    </row>
    <row r="157" spans="1:4" x14ac:dyDescent="0.2">
      <c r="A157" s="14">
        <v>20971102</v>
      </c>
      <c r="B157" s="14"/>
      <c r="C157" s="14" t="s">
        <v>181</v>
      </c>
      <c r="D157" s="14" t="s">
        <v>182</v>
      </c>
    </row>
    <row r="158" spans="1:4" x14ac:dyDescent="0.2">
      <c r="A158" s="14">
        <v>20995801</v>
      </c>
      <c r="B158" s="14"/>
      <c r="C158" s="14" t="s">
        <v>181</v>
      </c>
      <c r="D158" s="14" t="s">
        <v>182</v>
      </c>
    </row>
    <row r="159" spans="1:4" x14ac:dyDescent="0.2">
      <c r="A159" s="14">
        <v>20995802</v>
      </c>
      <c r="B159" s="14"/>
      <c r="C159" s="14" t="s">
        <v>181</v>
      </c>
      <c r="D159" s="14" t="s">
        <v>182</v>
      </c>
    </row>
    <row r="160" spans="1:4" x14ac:dyDescent="0.2">
      <c r="A160" s="14">
        <v>20995803</v>
      </c>
      <c r="B160" s="14"/>
      <c r="C160" s="14" t="s">
        <v>181</v>
      </c>
      <c r="D160" s="14" t="s">
        <v>182</v>
      </c>
    </row>
    <row r="161" spans="1:4" x14ac:dyDescent="0.2">
      <c r="A161" s="14">
        <v>20995804</v>
      </c>
      <c r="B161" s="14"/>
      <c r="C161" s="14" t="s">
        <v>181</v>
      </c>
      <c r="D161" s="14" t="s">
        <v>182</v>
      </c>
    </row>
    <row r="162" spans="1:4" x14ac:dyDescent="0.2">
      <c r="A162" s="14">
        <v>20995805</v>
      </c>
      <c r="B162" s="14"/>
      <c r="C162" s="14" t="s">
        <v>181</v>
      </c>
      <c r="D162" s="14" t="s">
        <v>182</v>
      </c>
    </row>
    <row r="163" spans="1:4" x14ac:dyDescent="0.2">
      <c r="A163" s="14">
        <v>20998501</v>
      </c>
      <c r="B163" s="14"/>
      <c r="C163" s="14" t="s">
        <v>181</v>
      </c>
      <c r="D163" s="14" t="s">
        <v>182</v>
      </c>
    </row>
    <row r="164" spans="1:4" x14ac:dyDescent="0.2">
      <c r="A164" s="14">
        <v>20998502</v>
      </c>
      <c r="B164" s="14"/>
      <c r="C164" s="14" t="s">
        <v>181</v>
      </c>
      <c r="D164" s="14" t="s">
        <v>182</v>
      </c>
    </row>
    <row r="165" spans="1:4" x14ac:dyDescent="0.2">
      <c r="A165" s="14">
        <v>21040601</v>
      </c>
      <c r="B165" s="14"/>
      <c r="C165" s="14" t="s">
        <v>181</v>
      </c>
      <c r="D165" s="14" t="s">
        <v>182</v>
      </c>
    </row>
    <row r="166" spans="1:4" x14ac:dyDescent="0.2">
      <c r="A166" s="14">
        <v>21040601</v>
      </c>
      <c r="B166" s="14"/>
      <c r="C166" s="14" t="s">
        <v>181</v>
      </c>
      <c r="D166" s="14" t="s">
        <v>182</v>
      </c>
    </row>
    <row r="167" spans="1:4" x14ac:dyDescent="0.2">
      <c r="A167" s="14">
        <v>21045301</v>
      </c>
      <c r="B167" s="14"/>
      <c r="C167" s="14" t="s">
        <v>181</v>
      </c>
      <c r="D167" s="14" t="s">
        <v>182</v>
      </c>
    </row>
    <row r="168" spans="1:4" x14ac:dyDescent="0.2">
      <c r="A168" s="14">
        <v>21049901</v>
      </c>
      <c r="B168" s="14"/>
      <c r="C168" s="14" t="s">
        <v>181</v>
      </c>
      <c r="D168" s="14" t="s">
        <v>182</v>
      </c>
    </row>
    <row r="169" spans="1:4" x14ac:dyDescent="0.2">
      <c r="A169" s="14">
        <v>21049902</v>
      </c>
      <c r="B169" s="14"/>
      <c r="C169" s="14" t="s">
        <v>181</v>
      </c>
      <c r="D169" s="14" t="s">
        <v>182</v>
      </c>
    </row>
    <row r="170" spans="1:4" x14ac:dyDescent="0.2">
      <c r="A170" s="14">
        <v>21049903</v>
      </c>
      <c r="B170" s="14"/>
      <c r="C170" s="14" t="s">
        <v>181</v>
      </c>
      <c r="D170" s="14" t="s">
        <v>182</v>
      </c>
    </row>
    <row r="171" spans="1:4" x14ac:dyDescent="0.2">
      <c r="A171" s="14">
        <v>21049904</v>
      </c>
      <c r="B171" s="14"/>
      <c r="C171" s="14" t="s">
        <v>181</v>
      </c>
      <c r="D171" s="14" t="s">
        <v>182</v>
      </c>
    </row>
    <row r="172" spans="1:4" x14ac:dyDescent="0.2">
      <c r="A172" s="14">
        <v>21049905</v>
      </c>
      <c r="B172" s="14"/>
      <c r="C172" s="14" t="s">
        <v>181</v>
      </c>
      <c r="D172" s="14" t="s">
        <v>182</v>
      </c>
    </row>
    <row r="173" spans="1:4" x14ac:dyDescent="0.2">
      <c r="A173" s="14">
        <v>21049906</v>
      </c>
      <c r="B173" s="14"/>
      <c r="C173" s="14" t="s">
        <v>181</v>
      </c>
      <c r="D173" s="14" t="s">
        <v>182</v>
      </c>
    </row>
    <row r="174" spans="1:4" x14ac:dyDescent="0.2">
      <c r="A174" s="14">
        <v>21049907</v>
      </c>
      <c r="B174" s="14"/>
      <c r="C174" s="14" t="s">
        <v>181</v>
      </c>
      <c r="D174" s="14" t="s">
        <v>182</v>
      </c>
    </row>
    <row r="175" spans="1:4" x14ac:dyDescent="0.2">
      <c r="A175" s="14">
        <v>21049908</v>
      </c>
      <c r="B175" s="14"/>
      <c r="C175" s="14" t="s">
        <v>181</v>
      </c>
      <c r="D175" s="14" t="s">
        <v>182</v>
      </c>
    </row>
    <row r="176" spans="1:4" x14ac:dyDescent="0.2">
      <c r="A176" s="14">
        <v>21049909</v>
      </c>
      <c r="B176" s="14"/>
      <c r="C176" s="14" t="s">
        <v>181</v>
      </c>
      <c r="D176" s="14" t="s">
        <v>182</v>
      </c>
    </row>
    <row r="177" spans="1:4" x14ac:dyDescent="0.2">
      <c r="A177" s="14">
        <v>21082801</v>
      </c>
      <c r="B177" s="14"/>
      <c r="C177" s="14" t="s">
        <v>181</v>
      </c>
      <c r="D177" s="14" t="s">
        <v>182</v>
      </c>
    </row>
    <row r="178" spans="1:4" x14ac:dyDescent="0.2">
      <c r="A178" s="14">
        <v>21097701</v>
      </c>
      <c r="B178" s="14"/>
      <c r="C178" s="14" t="s">
        <v>181</v>
      </c>
      <c r="D178" s="14" t="s">
        <v>182</v>
      </c>
    </row>
    <row r="179" spans="1:4" x14ac:dyDescent="0.2">
      <c r="A179" s="14">
        <v>21097702</v>
      </c>
      <c r="B179" s="14"/>
      <c r="C179" s="14" t="s">
        <v>181</v>
      </c>
      <c r="D179" s="14" t="s">
        <v>182</v>
      </c>
    </row>
    <row r="180" spans="1:4" x14ac:dyDescent="0.2">
      <c r="A180" s="14">
        <v>21097703</v>
      </c>
      <c r="B180" s="14"/>
      <c r="C180" s="14" t="s">
        <v>181</v>
      </c>
      <c r="D180" s="14" t="s">
        <v>182</v>
      </c>
    </row>
    <row r="181" spans="1:4" x14ac:dyDescent="0.2">
      <c r="A181" s="14">
        <v>21097704</v>
      </c>
      <c r="B181" s="14"/>
      <c r="C181" s="14" t="s">
        <v>181</v>
      </c>
      <c r="D181" s="14" t="s">
        <v>182</v>
      </c>
    </row>
    <row r="182" spans="1:4" x14ac:dyDescent="0.2">
      <c r="A182" s="14">
        <v>21097705</v>
      </c>
      <c r="B182" s="14"/>
      <c r="C182" s="14" t="s">
        <v>181</v>
      </c>
      <c r="D182" s="14" t="s">
        <v>182</v>
      </c>
    </row>
    <row r="183" spans="1:4" x14ac:dyDescent="0.2">
      <c r="A183" s="14">
        <v>21097706</v>
      </c>
      <c r="B183" s="14"/>
      <c r="C183" s="14" t="s">
        <v>181</v>
      </c>
      <c r="D183" s="14" t="s">
        <v>182</v>
      </c>
    </row>
    <row r="184" spans="1:4" x14ac:dyDescent="0.2">
      <c r="A184" s="14">
        <v>21097707</v>
      </c>
      <c r="B184" s="14"/>
      <c r="C184" s="14" t="s">
        <v>181</v>
      </c>
      <c r="D184" s="14" t="s">
        <v>182</v>
      </c>
    </row>
    <row r="185" spans="1:4" x14ac:dyDescent="0.2">
      <c r="A185" s="14">
        <v>21097708</v>
      </c>
      <c r="B185" s="14"/>
      <c r="C185" s="14" t="s">
        <v>181</v>
      </c>
      <c r="D185" s="14" t="s">
        <v>182</v>
      </c>
    </row>
    <row r="186" spans="1:4" x14ac:dyDescent="0.2">
      <c r="A186" s="14">
        <v>21097709</v>
      </c>
      <c r="B186" s="14"/>
      <c r="C186" s="14" t="s">
        <v>181</v>
      </c>
      <c r="D186" s="14" t="s">
        <v>182</v>
      </c>
    </row>
    <row r="187" spans="1:4" x14ac:dyDescent="0.2">
      <c r="A187" s="14">
        <v>21097710</v>
      </c>
      <c r="B187" s="14"/>
      <c r="C187" s="14" t="s">
        <v>181</v>
      </c>
      <c r="D187" s="14" t="s">
        <v>182</v>
      </c>
    </row>
    <row r="188" spans="1:4" x14ac:dyDescent="0.2">
      <c r="A188" s="14">
        <v>21097711</v>
      </c>
      <c r="B188" s="14"/>
      <c r="C188" s="14" t="s">
        <v>181</v>
      </c>
      <c r="D188" s="14" t="s">
        <v>182</v>
      </c>
    </row>
    <row r="189" spans="1:4" x14ac:dyDescent="0.2">
      <c r="A189" s="14">
        <v>21097712</v>
      </c>
      <c r="B189" s="14"/>
      <c r="C189" s="14" t="s">
        <v>181</v>
      </c>
      <c r="D189" s="14" t="s">
        <v>182</v>
      </c>
    </row>
    <row r="190" spans="1:4" x14ac:dyDescent="0.2">
      <c r="A190" s="14">
        <v>21097713</v>
      </c>
      <c r="B190" s="14"/>
      <c r="C190" s="14" t="s">
        <v>181</v>
      </c>
      <c r="D190" s="14" t="s">
        <v>182</v>
      </c>
    </row>
    <row r="191" spans="1:4" x14ac:dyDescent="0.2">
      <c r="A191" s="14">
        <v>21097714</v>
      </c>
      <c r="B191" s="14"/>
      <c r="C191" s="14" t="s">
        <v>181</v>
      </c>
      <c r="D191" s="14" t="s">
        <v>182</v>
      </c>
    </row>
    <row r="192" spans="1:4" x14ac:dyDescent="0.2">
      <c r="A192" s="14">
        <v>21097715</v>
      </c>
      <c r="B192" s="14"/>
      <c r="C192" s="14" t="s">
        <v>181</v>
      </c>
      <c r="D192" s="14" t="s">
        <v>182</v>
      </c>
    </row>
    <row r="193" spans="1:4" x14ac:dyDescent="0.2">
      <c r="A193" s="14">
        <v>21097716</v>
      </c>
      <c r="B193" s="14"/>
      <c r="C193" s="14" t="s">
        <v>181</v>
      </c>
      <c r="D193" s="14" t="s">
        <v>182</v>
      </c>
    </row>
    <row r="194" spans="1:4" x14ac:dyDescent="0.2">
      <c r="A194" s="14">
        <v>21097717</v>
      </c>
      <c r="B194" s="14"/>
      <c r="C194" s="14" t="s">
        <v>181</v>
      </c>
      <c r="D194" s="14" t="s">
        <v>182</v>
      </c>
    </row>
    <row r="195" spans="1:4" x14ac:dyDescent="0.2">
      <c r="A195" s="14">
        <v>21097718</v>
      </c>
      <c r="B195" s="14"/>
      <c r="C195" s="14" t="s">
        <v>181</v>
      </c>
      <c r="D195" s="14" t="s">
        <v>182</v>
      </c>
    </row>
    <row r="196" spans="1:4" x14ac:dyDescent="0.2">
      <c r="A196" s="14">
        <v>21097719</v>
      </c>
      <c r="B196" s="14"/>
      <c r="C196" s="14" t="s">
        <v>181</v>
      </c>
      <c r="D196" s="14" t="s">
        <v>182</v>
      </c>
    </row>
    <row r="197" spans="1:4" x14ac:dyDescent="0.2">
      <c r="A197" s="14">
        <v>21097720</v>
      </c>
      <c r="B197" s="14"/>
      <c r="C197" s="14" t="s">
        <v>181</v>
      </c>
      <c r="D197" s="14" t="s">
        <v>182</v>
      </c>
    </row>
    <row r="198" spans="1:4" x14ac:dyDescent="0.2">
      <c r="A198" s="14">
        <v>21097721</v>
      </c>
      <c r="B198" s="14"/>
      <c r="C198" s="14" t="s">
        <v>181</v>
      </c>
      <c r="D198" s="14" t="s">
        <v>182</v>
      </c>
    </row>
    <row r="199" spans="1:4" x14ac:dyDescent="0.2">
      <c r="A199" s="14">
        <v>21097722</v>
      </c>
      <c r="B199" s="14"/>
      <c r="C199" s="14" t="s">
        <v>181</v>
      </c>
      <c r="D199" s="14" t="s">
        <v>182</v>
      </c>
    </row>
    <row r="200" spans="1:4" x14ac:dyDescent="0.2">
      <c r="A200" s="14">
        <v>21097723</v>
      </c>
      <c r="B200" s="14"/>
      <c r="C200" s="14" t="s">
        <v>181</v>
      </c>
      <c r="D200" s="14" t="s">
        <v>182</v>
      </c>
    </row>
    <row r="201" spans="1:4" x14ac:dyDescent="0.2">
      <c r="A201" s="14">
        <v>21097724</v>
      </c>
      <c r="B201" s="14"/>
      <c r="C201" s="14" t="s">
        <v>181</v>
      </c>
      <c r="D201" s="14" t="s">
        <v>182</v>
      </c>
    </row>
    <row r="202" spans="1:4" x14ac:dyDescent="0.2">
      <c r="A202" s="14">
        <v>21097725</v>
      </c>
      <c r="B202" s="14"/>
      <c r="C202" s="14" t="s">
        <v>181</v>
      </c>
      <c r="D202" s="14" t="s">
        <v>182</v>
      </c>
    </row>
    <row r="203" spans="1:4" x14ac:dyDescent="0.2">
      <c r="A203" s="14">
        <v>21097726</v>
      </c>
      <c r="B203" s="14"/>
      <c r="C203" s="14" t="s">
        <v>181</v>
      </c>
      <c r="D203" s="14" t="s">
        <v>182</v>
      </c>
    </row>
    <row r="204" spans="1:4" x14ac:dyDescent="0.2">
      <c r="A204" s="14">
        <v>21097727</v>
      </c>
      <c r="B204" s="14"/>
      <c r="C204" s="14" t="s">
        <v>181</v>
      </c>
      <c r="D204" s="14" t="s">
        <v>182</v>
      </c>
    </row>
    <row r="205" spans="1:4" x14ac:dyDescent="0.2">
      <c r="A205" s="14">
        <v>21097728</v>
      </c>
      <c r="B205" s="14"/>
      <c r="C205" s="14" t="s">
        <v>181</v>
      </c>
      <c r="D205" s="14" t="s">
        <v>182</v>
      </c>
    </row>
    <row r="206" spans="1:4" x14ac:dyDescent="0.2">
      <c r="A206" s="14">
        <v>21097729</v>
      </c>
      <c r="B206" s="14"/>
      <c r="C206" s="14" t="s">
        <v>181</v>
      </c>
      <c r="D206" s="14" t="s">
        <v>182</v>
      </c>
    </row>
    <row r="207" spans="1:4" x14ac:dyDescent="0.2">
      <c r="A207" s="14">
        <v>21097730</v>
      </c>
      <c r="B207" s="14"/>
      <c r="C207" s="14" t="s">
        <v>181</v>
      </c>
      <c r="D207" s="14" t="s">
        <v>182</v>
      </c>
    </row>
    <row r="208" spans="1:4" x14ac:dyDescent="0.2">
      <c r="A208" s="14">
        <v>21097731</v>
      </c>
      <c r="B208" s="14"/>
      <c r="C208" s="14" t="s">
        <v>181</v>
      </c>
      <c r="D208" s="14" t="s">
        <v>182</v>
      </c>
    </row>
    <row r="209" spans="1:4" x14ac:dyDescent="0.2">
      <c r="A209" s="14">
        <v>21097732</v>
      </c>
      <c r="B209" s="14"/>
      <c r="C209" s="14" t="s">
        <v>181</v>
      </c>
      <c r="D209" s="14" t="s">
        <v>182</v>
      </c>
    </row>
    <row r="210" spans="1:4" x14ac:dyDescent="0.2">
      <c r="A210" s="14">
        <v>21097734</v>
      </c>
      <c r="B210" s="14"/>
      <c r="C210" s="14" t="s">
        <v>181</v>
      </c>
      <c r="D210" s="14" t="s">
        <v>182</v>
      </c>
    </row>
    <row r="211" spans="1:4" x14ac:dyDescent="0.2">
      <c r="A211" s="14">
        <v>21097735</v>
      </c>
      <c r="B211" s="14"/>
      <c r="C211" s="14" t="s">
        <v>181</v>
      </c>
      <c r="D211" s="14" t="s">
        <v>182</v>
      </c>
    </row>
    <row r="212" spans="1:4" x14ac:dyDescent="0.2">
      <c r="A212" s="14">
        <v>21097736</v>
      </c>
      <c r="B212" s="14"/>
      <c r="C212" s="14" t="s">
        <v>181</v>
      </c>
      <c r="D212" s="14" t="s">
        <v>182</v>
      </c>
    </row>
    <row r="213" spans="1:4" x14ac:dyDescent="0.2">
      <c r="A213" s="14">
        <v>21097737</v>
      </c>
      <c r="B213" s="14"/>
      <c r="C213" s="14" t="s">
        <v>181</v>
      </c>
      <c r="D213" s="14" t="s">
        <v>182</v>
      </c>
    </row>
    <row r="214" spans="1:4" x14ac:dyDescent="0.2">
      <c r="A214" s="14">
        <v>21097738</v>
      </c>
      <c r="B214" s="14"/>
      <c r="C214" s="14" t="s">
        <v>181</v>
      </c>
      <c r="D214" s="14" t="s">
        <v>182</v>
      </c>
    </row>
    <row r="215" spans="1:4" x14ac:dyDescent="0.2">
      <c r="A215" s="14">
        <v>21097739</v>
      </c>
      <c r="B215" s="14"/>
      <c r="C215" s="14" t="s">
        <v>181</v>
      </c>
      <c r="D215" s="14" t="s">
        <v>182</v>
      </c>
    </row>
    <row r="216" spans="1:4" x14ac:dyDescent="0.2">
      <c r="A216" s="14">
        <v>21097740</v>
      </c>
      <c r="B216" s="14"/>
      <c r="C216" s="14" t="s">
        <v>181</v>
      </c>
      <c r="D216" s="14" t="s">
        <v>182</v>
      </c>
    </row>
    <row r="217" spans="1:4" x14ac:dyDescent="0.2">
      <c r="A217" s="14">
        <v>21097741</v>
      </c>
      <c r="B217" s="14"/>
      <c r="C217" s="14" t="s">
        <v>181</v>
      </c>
      <c r="D217" s="14" t="s">
        <v>182</v>
      </c>
    </row>
    <row r="218" spans="1:4" x14ac:dyDescent="0.2">
      <c r="A218" s="14">
        <v>21097742</v>
      </c>
      <c r="B218" s="14"/>
      <c r="C218" s="14" t="s">
        <v>181</v>
      </c>
      <c r="D218" s="14" t="s">
        <v>182</v>
      </c>
    </row>
    <row r="219" spans="1:4" x14ac:dyDescent="0.2">
      <c r="A219" s="14">
        <v>21097743</v>
      </c>
      <c r="B219" s="14"/>
      <c r="C219" s="14" t="s">
        <v>181</v>
      </c>
      <c r="D219" s="14" t="s">
        <v>182</v>
      </c>
    </row>
    <row r="220" spans="1:4" x14ac:dyDescent="0.2">
      <c r="A220" s="14">
        <v>21097747</v>
      </c>
      <c r="B220" s="14"/>
      <c r="C220" s="14" t="s">
        <v>181</v>
      </c>
      <c r="D220" s="14" t="s">
        <v>182</v>
      </c>
    </row>
    <row r="221" spans="1:4" x14ac:dyDescent="0.2">
      <c r="A221" s="14">
        <v>21117301</v>
      </c>
      <c r="B221" s="14"/>
      <c r="C221" s="14" t="s">
        <v>181</v>
      </c>
      <c r="D221" s="14" t="s">
        <v>182</v>
      </c>
    </row>
    <row r="222" spans="1:4" x14ac:dyDescent="0.2">
      <c r="A222" s="14">
        <v>21140901</v>
      </c>
      <c r="B222" s="14"/>
      <c r="C222" s="14" t="s">
        <v>181</v>
      </c>
      <c r="D222" s="14" t="s">
        <v>182</v>
      </c>
    </row>
    <row r="223" spans="1:4" x14ac:dyDescent="0.2">
      <c r="A223" s="14">
        <v>21140902</v>
      </c>
      <c r="B223" s="14"/>
      <c r="C223" s="14" t="s">
        <v>181</v>
      </c>
      <c r="D223" s="14" t="s">
        <v>182</v>
      </c>
    </row>
    <row r="224" spans="1:4" x14ac:dyDescent="0.2">
      <c r="A224" s="14">
        <v>21140904</v>
      </c>
      <c r="B224" s="14"/>
      <c r="C224" s="14" t="s">
        <v>181</v>
      </c>
      <c r="D224" s="14" t="s">
        <v>182</v>
      </c>
    </row>
    <row r="225" spans="1:4" x14ac:dyDescent="0.2">
      <c r="A225" s="14">
        <v>21140904</v>
      </c>
      <c r="B225" s="14"/>
      <c r="C225" s="14" t="s">
        <v>181</v>
      </c>
      <c r="D225" s="14" t="s">
        <v>182</v>
      </c>
    </row>
    <row r="226" spans="1:4" x14ac:dyDescent="0.2">
      <c r="A226" s="14">
        <v>21140905</v>
      </c>
      <c r="B226" s="14"/>
      <c r="C226" s="14" t="s">
        <v>181</v>
      </c>
      <c r="D226" s="14" t="s">
        <v>182</v>
      </c>
    </row>
    <row r="227" spans="1:4" x14ac:dyDescent="0.2">
      <c r="A227" s="14">
        <v>21140906</v>
      </c>
      <c r="B227" s="14"/>
      <c r="C227" s="14" t="s">
        <v>181</v>
      </c>
      <c r="D227" s="14" t="s">
        <v>182</v>
      </c>
    </row>
    <row r="228" spans="1:4" x14ac:dyDescent="0.2">
      <c r="A228" s="14">
        <v>21140907</v>
      </c>
      <c r="B228" s="14"/>
      <c r="C228" s="14" t="s">
        <v>181</v>
      </c>
      <c r="D228" s="14" t="s">
        <v>182</v>
      </c>
    </row>
    <row r="229" spans="1:4" x14ac:dyDescent="0.2">
      <c r="A229" s="14">
        <v>21140908</v>
      </c>
      <c r="B229" s="14"/>
      <c r="C229" s="14" t="s">
        <v>181</v>
      </c>
      <c r="D229" s="14" t="s">
        <v>182</v>
      </c>
    </row>
    <row r="230" spans="1:4" x14ac:dyDescent="0.2">
      <c r="A230" s="14">
        <v>21140909</v>
      </c>
      <c r="B230" s="14"/>
      <c r="C230" s="14" t="s">
        <v>181</v>
      </c>
      <c r="D230" s="14" t="s">
        <v>182</v>
      </c>
    </row>
    <row r="231" spans="1:4" x14ac:dyDescent="0.2">
      <c r="A231" s="14">
        <v>21140910</v>
      </c>
      <c r="B231" s="14"/>
      <c r="C231" s="14" t="s">
        <v>181</v>
      </c>
      <c r="D231" s="14" t="s">
        <v>182</v>
      </c>
    </row>
    <row r="232" spans="1:4" x14ac:dyDescent="0.2">
      <c r="A232" s="14">
        <v>21140911</v>
      </c>
      <c r="B232" s="14"/>
      <c r="C232" s="14" t="s">
        <v>181</v>
      </c>
      <c r="D232" s="14" t="s">
        <v>182</v>
      </c>
    </row>
    <row r="233" spans="1:4" x14ac:dyDescent="0.2">
      <c r="A233" s="14">
        <v>21140912</v>
      </c>
      <c r="B233" s="14"/>
      <c r="C233" s="14" t="s">
        <v>181</v>
      </c>
      <c r="D233" s="14" t="s">
        <v>182</v>
      </c>
    </row>
    <row r="234" spans="1:4" x14ac:dyDescent="0.2">
      <c r="A234" s="14">
        <v>21140913</v>
      </c>
      <c r="B234" s="14"/>
      <c r="C234" s="14" t="s">
        <v>181</v>
      </c>
      <c r="D234" s="14" t="s">
        <v>182</v>
      </c>
    </row>
    <row r="235" spans="1:4" x14ac:dyDescent="0.2">
      <c r="A235" s="14">
        <v>21140914</v>
      </c>
      <c r="B235" s="14"/>
      <c r="C235" s="14" t="s">
        <v>181</v>
      </c>
      <c r="D235" s="14" t="s">
        <v>182</v>
      </c>
    </row>
    <row r="236" spans="1:4" x14ac:dyDescent="0.2">
      <c r="A236" s="14">
        <v>21140915</v>
      </c>
      <c r="B236" s="14"/>
      <c r="C236" s="14" t="s">
        <v>181</v>
      </c>
      <c r="D236" s="14" t="s">
        <v>182</v>
      </c>
    </row>
    <row r="237" spans="1:4" x14ac:dyDescent="0.2">
      <c r="A237" s="14">
        <v>21154101</v>
      </c>
      <c r="B237" s="14"/>
      <c r="C237" s="14" t="s">
        <v>181</v>
      </c>
      <c r="D237" s="14" t="s">
        <v>182</v>
      </c>
    </row>
    <row r="238" spans="1:4" x14ac:dyDescent="0.2">
      <c r="A238" s="14">
        <v>21154102</v>
      </c>
      <c r="B238" s="14"/>
      <c r="C238" s="14" t="s">
        <v>181</v>
      </c>
      <c r="D238" s="14" t="s">
        <v>182</v>
      </c>
    </row>
    <row r="239" spans="1:4" x14ac:dyDescent="0.2">
      <c r="A239" s="14">
        <v>21154103</v>
      </c>
      <c r="B239" s="14"/>
      <c r="C239" s="14" t="s">
        <v>181</v>
      </c>
      <c r="D239" s="14" t="s">
        <v>182</v>
      </c>
    </row>
    <row r="240" spans="1:4" x14ac:dyDescent="0.2">
      <c r="A240" s="14">
        <v>21154104</v>
      </c>
      <c r="B240" s="14"/>
      <c r="C240" s="14" t="s">
        <v>181</v>
      </c>
      <c r="D240" s="14" t="s">
        <v>182</v>
      </c>
    </row>
    <row r="241" spans="1:4" x14ac:dyDescent="0.2">
      <c r="A241" s="14">
        <v>21154105</v>
      </c>
      <c r="B241" s="14"/>
      <c r="C241" s="14" t="s">
        <v>181</v>
      </c>
      <c r="D241" s="14" t="s">
        <v>182</v>
      </c>
    </row>
    <row r="242" spans="1:4" x14ac:dyDescent="0.2">
      <c r="A242" s="14">
        <v>21154106</v>
      </c>
      <c r="B242" s="14"/>
      <c r="C242" s="14" t="s">
        <v>181</v>
      </c>
      <c r="D242" s="14" t="s">
        <v>182</v>
      </c>
    </row>
    <row r="243" spans="1:4" x14ac:dyDescent="0.2">
      <c r="A243" s="14">
        <v>21154107</v>
      </c>
      <c r="B243" s="14"/>
      <c r="C243" s="14" t="s">
        <v>181</v>
      </c>
      <c r="D243" s="14" t="s">
        <v>182</v>
      </c>
    </row>
    <row r="244" spans="1:4" x14ac:dyDescent="0.2">
      <c r="A244" s="14">
        <v>21154108</v>
      </c>
      <c r="B244" s="14"/>
      <c r="C244" s="14" t="s">
        <v>181</v>
      </c>
      <c r="D244" s="14" t="s">
        <v>182</v>
      </c>
    </row>
    <row r="245" spans="1:4" x14ac:dyDescent="0.2">
      <c r="A245" s="14">
        <v>21154109</v>
      </c>
      <c r="B245" s="14"/>
      <c r="C245" s="14" t="s">
        <v>181</v>
      </c>
      <c r="D245" s="14" t="s">
        <v>182</v>
      </c>
    </row>
    <row r="246" spans="1:4" x14ac:dyDescent="0.2">
      <c r="A246" s="14">
        <v>21154110</v>
      </c>
      <c r="B246" s="14"/>
      <c r="C246" s="14" t="s">
        <v>181</v>
      </c>
      <c r="D246" s="14" t="s">
        <v>182</v>
      </c>
    </row>
    <row r="247" spans="1:4" x14ac:dyDescent="0.2">
      <c r="A247" s="14">
        <v>21154111</v>
      </c>
      <c r="B247" s="14"/>
      <c r="C247" s="14" t="s">
        <v>181</v>
      </c>
      <c r="D247" s="14" t="s">
        <v>182</v>
      </c>
    </row>
    <row r="248" spans="1:4" x14ac:dyDescent="0.2">
      <c r="A248" s="14">
        <v>21154112</v>
      </c>
      <c r="B248" s="14"/>
      <c r="C248" s="14" t="s">
        <v>181</v>
      </c>
      <c r="D248" s="14" t="s">
        <v>182</v>
      </c>
    </row>
    <row r="249" spans="1:4" x14ac:dyDescent="0.2">
      <c r="A249" s="14">
        <v>21154113</v>
      </c>
      <c r="B249" s="14"/>
      <c r="C249" s="14" t="s">
        <v>181</v>
      </c>
      <c r="D249" s="14" t="s">
        <v>182</v>
      </c>
    </row>
    <row r="250" spans="1:4" x14ac:dyDescent="0.2">
      <c r="A250" s="14">
        <v>21154114</v>
      </c>
      <c r="B250" s="14"/>
      <c r="C250" s="14" t="s">
        <v>181</v>
      </c>
      <c r="D250" s="14" t="s">
        <v>182</v>
      </c>
    </row>
    <row r="251" spans="1:4" x14ac:dyDescent="0.2">
      <c r="A251" s="14">
        <v>21154114</v>
      </c>
      <c r="B251" s="14"/>
      <c r="C251" s="14" t="s">
        <v>181</v>
      </c>
      <c r="D251" s="14" t="s">
        <v>182</v>
      </c>
    </row>
    <row r="252" spans="1:4" x14ac:dyDescent="0.2">
      <c r="A252" s="14">
        <v>21154115</v>
      </c>
      <c r="B252" s="14"/>
      <c r="C252" s="14" t="s">
        <v>181</v>
      </c>
      <c r="D252" s="14" t="s">
        <v>182</v>
      </c>
    </row>
    <row r="253" spans="1:4" x14ac:dyDescent="0.2">
      <c r="A253" s="14">
        <v>21154116</v>
      </c>
      <c r="B253" s="14"/>
      <c r="C253" s="14" t="s">
        <v>181</v>
      </c>
      <c r="D253" s="14" t="s">
        <v>182</v>
      </c>
    </row>
    <row r="254" spans="1:4" x14ac:dyDescent="0.2">
      <c r="A254" s="14">
        <v>21154116</v>
      </c>
      <c r="B254" s="14"/>
      <c r="C254" s="14" t="s">
        <v>181</v>
      </c>
      <c r="D254" s="14" t="s">
        <v>182</v>
      </c>
    </row>
    <row r="255" spans="1:4" x14ac:dyDescent="0.2">
      <c r="A255" s="14">
        <v>21154117</v>
      </c>
      <c r="B255" s="14"/>
      <c r="C255" s="14" t="s">
        <v>181</v>
      </c>
      <c r="D255" s="14" t="s">
        <v>182</v>
      </c>
    </row>
    <row r="256" spans="1:4" x14ac:dyDescent="0.2">
      <c r="A256" s="14">
        <v>21154118</v>
      </c>
      <c r="B256" s="14"/>
      <c r="C256" s="14" t="s">
        <v>181</v>
      </c>
      <c r="D256" s="14" t="s">
        <v>182</v>
      </c>
    </row>
    <row r="257" spans="1:4" x14ac:dyDescent="0.2">
      <c r="A257" s="14">
        <v>21154119</v>
      </c>
      <c r="B257" s="14"/>
      <c r="C257" s="14" t="s">
        <v>181</v>
      </c>
      <c r="D257" s="14" t="s">
        <v>182</v>
      </c>
    </row>
    <row r="258" spans="1:4" x14ac:dyDescent="0.2">
      <c r="A258" s="14">
        <v>21154120</v>
      </c>
      <c r="B258" s="14"/>
      <c r="C258" s="14" t="s">
        <v>181</v>
      </c>
      <c r="D258" s="14" t="s">
        <v>182</v>
      </c>
    </row>
    <row r="259" spans="1:4" x14ac:dyDescent="0.2">
      <c r="A259" s="14">
        <v>21154121</v>
      </c>
      <c r="B259" s="14"/>
      <c r="C259" s="14" t="s">
        <v>181</v>
      </c>
      <c r="D259" s="14" t="s">
        <v>182</v>
      </c>
    </row>
    <row r="260" spans="1:4" x14ac:dyDescent="0.2">
      <c r="A260" s="14">
        <v>21154122</v>
      </c>
      <c r="B260" s="14"/>
      <c r="C260" s="14" t="s">
        <v>181</v>
      </c>
      <c r="D260" s="14" t="s">
        <v>182</v>
      </c>
    </row>
    <row r="261" spans="1:4" x14ac:dyDescent="0.2">
      <c r="A261" s="14">
        <v>21154124</v>
      </c>
      <c r="B261" s="14"/>
      <c r="C261" s="14" t="s">
        <v>181</v>
      </c>
      <c r="D261" s="14" t="s">
        <v>182</v>
      </c>
    </row>
    <row r="262" spans="1:4" x14ac:dyDescent="0.2">
      <c r="A262" s="14">
        <v>21154125</v>
      </c>
      <c r="B262" s="14"/>
      <c r="C262" s="14" t="s">
        <v>181</v>
      </c>
      <c r="D262" s="14" t="s">
        <v>182</v>
      </c>
    </row>
    <row r="263" spans="1:4" x14ac:dyDescent="0.2">
      <c r="A263" s="14">
        <v>21154126</v>
      </c>
      <c r="B263" s="14"/>
      <c r="C263" s="14" t="s">
        <v>181</v>
      </c>
      <c r="D263" s="14" t="s">
        <v>182</v>
      </c>
    </row>
    <row r="264" spans="1:4" x14ac:dyDescent="0.2">
      <c r="A264" s="14">
        <v>21154127</v>
      </c>
      <c r="B264" s="14"/>
      <c r="C264" s="14" t="s">
        <v>181</v>
      </c>
      <c r="D264" s="14" t="s">
        <v>182</v>
      </c>
    </row>
    <row r="265" spans="1:4" x14ac:dyDescent="0.2">
      <c r="A265" s="14">
        <v>21154128</v>
      </c>
      <c r="B265" s="14"/>
      <c r="C265" s="14" t="s">
        <v>181</v>
      </c>
      <c r="D265" s="14" t="s">
        <v>182</v>
      </c>
    </row>
    <row r="266" spans="1:4" x14ac:dyDescent="0.2">
      <c r="A266" s="14">
        <v>21154129</v>
      </c>
      <c r="B266" s="14"/>
      <c r="C266" s="14" t="s">
        <v>181</v>
      </c>
      <c r="D266" s="14" t="s">
        <v>182</v>
      </c>
    </row>
    <row r="267" spans="1:4" x14ac:dyDescent="0.2">
      <c r="A267" s="14">
        <v>21154130</v>
      </c>
      <c r="B267" s="14"/>
      <c r="C267" s="14" t="s">
        <v>181</v>
      </c>
      <c r="D267" s="14" t="s">
        <v>182</v>
      </c>
    </row>
    <row r="268" spans="1:4" x14ac:dyDescent="0.2">
      <c r="A268" s="14">
        <v>21154131</v>
      </c>
      <c r="B268" s="14"/>
      <c r="C268" s="14" t="s">
        <v>181</v>
      </c>
      <c r="D268" s="14" t="s">
        <v>182</v>
      </c>
    </row>
    <row r="269" spans="1:4" x14ac:dyDescent="0.2">
      <c r="A269" s="14">
        <v>21154132</v>
      </c>
      <c r="B269" s="14"/>
      <c r="C269" s="14" t="s">
        <v>181</v>
      </c>
      <c r="D269" s="14" t="s">
        <v>182</v>
      </c>
    </row>
    <row r="270" spans="1:4" x14ac:dyDescent="0.2">
      <c r="A270" s="14">
        <v>21154133</v>
      </c>
      <c r="B270" s="14"/>
      <c r="C270" s="14" t="s">
        <v>181</v>
      </c>
      <c r="D270" s="14" t="s">
        <v>182</v>
      </c>
    </row>
    <row r="271" spans="1:4" x14ac:dyDescent="0.2">
      <c r="A271" s="14">
        <v>21154134</v>
      </c>
      <c r="B271" s="14"/>
      <c r="C271" s="14" t="s">
        <v>181</v>
      </c>
      <c r="D271" s="14" t="s">
        <v>182</v>
      </c>
    </row>
    <row r="272" spans="1:4" x14ac:dyDescent="0.2">
      <c r="A272" s="14">
        <v>21154135</v>
      </c>
      <c r="B272" s="14"/>
      <c r="C272" s="14" t="s">
        <v>181</v>
      </c>
      <c r="D272" s="14" t="s">
        <v>182</v>
      </c>
    </row>
    <row r="273" spans="1:4" x14ac:dyDescent="0.2">
      <c r="A273" s="14">
        <v>21154136</v>
      </c>
      <c r="B273" s="14"/>
      <c r="C273" s="14" t="s">
        <v>181</v>
      </c>
      <c r="D273" s="14" t="s">
        <v>182</v>
      </c>
    </row>
    <row r="274" spans="1:4" x14ac:dyDescent="0.2">
      <c r="A274" s="14">
        <v>21154137</v>
      </c>
      <c r="B274" s="14"/>
      <c r="C274" s="14" t="s">
        <v>181</v>
      </c>
      <c r="D274" s="14" t="s">
        <v>182</v>
      </c>
    </row>
    <row r="275" spans="1:4" x14ac:dyDescent="0.2">
      <c r="A275" s="14">
        <v>21154138</v>
      </c>
      <c r="B275" s="14"/>
      <c r="C275" s="14" t="s">
        <v>181</v>
      </c>
      <c r="D275" s="14" t="s">
        <v>182</v>
      </c>
    </row>
    <row r="276" spans="1:4" x14ac:dyDescent="0.2">
      <c r="A276" s="14">
        <v>21154139</v>
      </c>
      <c r="B276" s="14"/>
      <c r="C276" s="14" t="s">
        <v>181</v>
      </c>
      <c r="D276" s="14" t="s">
        <v>182</v>
      </c>
    </row>
    <row r="277" spans="1:4" x14ac:dyDescent="0.2">
      <c r="A277" s="14">
        <v>21154140</v>
      </c>
      <c r="B277" s="14"/>
      <c r="C277" s="14" t="s">
        <v>181</v>
      </c>
      <c r="D277" s="14" t="s">
        <v>182</v>
      </c>
    </row>
    <row r="278" spans="1:4" x14ac:dyDescent="0.2">
      <c r="A278" s="14">
        <v>21154140</v>
      </c>
      <c r="B278" s="14"/>
      <c r="C278" s="14" t="s">
        <v>181</v>
      </c>
      <c r="D278" s="14" t="s">
        <v>182</v>
      </c>
    </row>
    <row r="279" spans="1:4" x14ac:dyDescent="0.2">
      <c r="A279" s="14">
        <v>21154143</v>
      </c>
      <c r="B279" s="14"/>
      <c r="C279" s="14" t="s">
        <v>181</v>
      </c>
      <c r="D279" s="14" t="s">
        <v>182</v>
      </c>
    </row>
    <row r="280" spans="1:4" x14ac:dyDescent="0.2">
      <c r="A280" s="14">
        <v>21154144</v>
      </c>
      <c r="B280" s="14"/>
      <c r="C280" s="14" t="s">
        <v>181</v>
      </c>
      <c r="D280" s="14" t="s">
        <v>182</v>
      </c>
    </row>
    <row r="281" spans="1:4" x14ac:dyDescent="0.2">
      <c r="A281" s="14">
        <v>21177401</v>
      </c>
      <c r="B281" s="14"/>
      <c r="C281" s="14" t="s">
        <v>181</v>
      </c>
      <c r="D281" s="14" t="s">
        <v>182</v>
      </c>
    </row>
    <row r="282" spans="1:4" x14ac:dyDescent="0.2">
      <c r="A282" s="14">
        <v>21177402</v>
      </c>
      <c r="B282" s="14"/>
      <c r="C282" s="14" t="s">
        <v>181</v>
      </c>
      <c r="D282" s="14" t="s">
        <v>182</v>
      </c>
    </row>
    <row r="283" spans="1:4" x14ac:dyDescent="0.2">
      <c r="A283" s="14">
        <v>21177403</v>
      </c>
      <c r="B283" s="14"/>
      <c r="C283" s="14" t="s">
        <v>181</v>
      </c>
      <c r="D283" s="14" t="s">
        <v>182</v>
      </c>
    </row>
    <row r="284" spans="1:4" x14ac:dyDescent="0.2">
      <c r="A284" s="14">
        <v>21182201</v>
      </c>
      <c r="B284" s="14"/>
      <c r="C284" s="14" t="s">
        <v>181</v>
      </c>
      <c r="D284" s="14" t="s">
        <v>182</v>
      </c>
    </row>
    <row r="285" spans="1:4" x14ac:dyDescent="0.2">
      <c r="A285" s="14">
        <v>21182301</v>
      </c>
      <c r="B285" s="14"/>
      <c r="C285" s="14" t="s">
        <v>181</v>
      </c>
      <c r="D285" s="14" t="s">
        <v>182</v>
      </c>
    </row>
    <row r="286" spans="1:4" x14ac:dyDescent="0.2">
      <c r="A286" s="14">
        <v>21182302</v>
      </c>
      <c r="B286" s="14"/>
      <c r="C286" s="14" t="s">
        <v>181</v>
      </c>
      <c r="D286" s="14" t="s">
        <v>182</v>
      </c>
    </row>
    <row r="287" spans="1:4" x14ac:dyDescent="0.2">
      <c r="A287" s="14">
        <v>21233301</v>
      </c>
      <c r="B287" s="14"/>
      <c r="C287" s="14" t="s">
        <v>181</v>
      </c>
      <c r="D287" s="14" t="s">
        <v>182</v>
      </c>
    </row>
    <row r="288" spans="1:4" x14ac:dyDescent="0.2">
      <c r="A288" s="14">
        <v>21233302</v>
      </c>
      <c r="B288" s="14"/>
      <c r="C288" s="14" t="s">
        <v>181</v>
      </c>
      <c r="D288" s="14" t="s">
        <v>182</v>
      </c>
    </row>
    <row r="289" spans="1:4" x14ac:dyDescent="0.2">
      <c r="A289" s="14">
        <v>21233303</v>
      </c>
      <c r="B289" s="14"/>
      <c r="C289" s="14" t="s">
        <v>181</v>
      </c>
      <c r="D289" s="14" t="s">
        <v>182</v>
      </c>
    </row>
    <row r="290" spans="1:4" x14ac:dyDescent="0.2">
      <c r="A290" s="14">
        <v>21233303</v>
      </c>
      <c r="B290" s="14"/>
      <c r="C290" s="14" t="s">
        <v>181</v>
      </c>
      <c r="D290" s="14" t="s">
        <v>182</v>
      </c>
    </row>
    <row r="291" spans="1:4" x14ac:dyDescent="0.2">
      <c r="A291" s="14">
        <v>21233304</v>
      </c>
      <c r="B291" s="14"/>
      <c r="C291" s="14" t="s">
        <v>181</v>
      </c>
      <c r="D291" s="14" t="s">
        <v>182</v>
      </c>
    </row>
    <row r="292" spans="1:4" x14ac:dyDescent="0.2">
      <c r="A292" s="14">
        <v>21247301</v>
      </c>
      <c r="B292" s="14"/>
      <c r="C292" s="14" t="s">
        <v>181</v>
      </c>
      <c r="D292" s="14" t="s">
        <v>182</v>
      </c>
    </row>
    <row r="293" spans="1:4" x14ac:dyDescent="0.2">
      <c r="A293" s="14">
        <v>21255001</v>
      </c>
      <c r="B293" s="14"/>
      <c r="C293" s="14" t="s">
        <v>181</v>
      </c>
      <c r="D293" s="14" t="s">
        <v>182</v>
      </c>
    </row>
    <row r="294" spans="1:4" x14ac:dyDescent="0.2">
      <c r="A294" s="14">
        <v>21255002</v>
      </c>
      <c r="B294" s="14"/>
      <c r="C294" s="14" t="s">
        <v>181</v>
      </c>
      <c r="D294" s="14" t="s">
        <v>182</v>
      </c>
    </row>
    <row r="295" spans="1:4" x14ac:dyDescent="0.2">
      <c r="A295" s="14">
        <v>21255003</v>
      </c>
      <c r="B295" s="14"/>
      <c r="C295" s="14" t="s">
        <v>181</v>
      </c>
      <c r="D295" s="14" t="s">
        <v>182</v>
      </c>
    </row>
    <row r="296" spans="1:4" x14ac:dyDescent="0.2">
      <c r="A296" s="14">
        <v>21311101</v>
      </c>
      <c r="B296" s="14"/>
      <c r="C296" s="14" t="s">
        <v>181</v>
      </c>
      <c r="D296" s="14" t="s">
        <v>182</v>
      </c>
    </row>
    <row r="297" spans="1:4" x14ac:dyDescent="0.2">
      <c r="A297" s="14">
        <v>21311102</v>
      </c>
      <c r="B297" s="14"/>
      <c r="C297" s="14" t="s">
        <v>181</v>
      </c>
      <c r="D297" s="14" t="s">
        <v>182</v>
      </c>
    </row>
    <row r="298" spans="1:4" x14ac:dyDescent="0.2">
      <c r="A298" s="14">
        <v>21311103</v>
      </c>
      <c r="B298" s="14"/>
      <c r="C298" s="14" t="s">
        <v>181</v>
      </c>
      <c r="D298" s="14" t="s">
        <v>182</v>
      </c>
    </row>
    <row r="299" spans="1:4" x14ac:dyDescent="0.2">
      <c r="A299" s="14">
        <v>21358101</v>
      </c>
      <c r="B299" s="14"/>
      <c r="C299" s="14" t="s">
        <v>181</v>
      </c>
      <c r="D299" s="14" t="s">
        <v>182</v>
      </c>
    </row>
    <row r="300" spans="1:4" x14ac:dyDescent="0.2">
      <c r="A300" s="14">
        <v>21358102</v>
      </c>
      <c r="B300" s="14"/>
      <c r="C300" s="14" t="s">
        <v>181</v>
      </c>
      <c r="D300" s="14" t="s">
        <v>182</v>
      </c>
    </row>
    <row r="301" spans="1:4" x14ac:dyDescent="0.2">
      <c r="A301" s="14">
        <v>21358103</v>
      </c>
      <c r="B301" s="14"/>
      <c r="C301" s="14" t="s">
        <v>181</v>
      </c>
      <c r="D301" s="14" t="s">
        <v>182</v>
      </c>
    </row>
    <row r="302" spans="1:4" x14ac:dyDescent="0.2">
      <c r="A302" s="14">
        <v>21358104</v>
      </c>
      <c r="B302" s="14"/>
      <c r="C302" s="14" t="s">
        <v>181</v>
      </c>
      <c r="D302" s="14" t="s">
        <v>182</v>
      </c>
    </row>
    <row r="303" spans="1:4" x14ac:dyDescent="0.2">
      <c r="A303" s="14">
        <v>21394101</v>
      </c>
      <c r="B303" s="14"/>
      <c r="C303" s="14" t="s">
        <v>181</v>
      </c>
      <c r="D303" s="14" t="s">
        <v>182</v>
      </c>
    </row>
    <row r="304" spans="1:4" x14ac:dyDescent="0.2">
      <c r="A304" s="14">
        <v>21394102</v>
      </c>
      <c r="B304" s="14"/>
      <c r="C304" s="14" t="s">
        <v>181</v>
      </c>
      <c r="D304" s="14" t="s">
        <v>182</v>
      </c>
    </row>
    <row r="305" spans="1:4" x14ac:dyDescent="0.2">
      <c r="A305" s="14">
        <v>21394103</v>
      </c>
      <c r="B305" s="14"/>
      <c r="C305" s="14" t="s">
        <v>181</v>
      </c>
      <c r="D305" s="14" t="s">
        <v>182</v>
      </c>
    </row>
    <row r="306" spans="1:4" x14ac:dyDescent="0.2">
      <c r="A306" s="14">
        <v>21394104</v>
      </c>
      <c r="B306" s="14"/>
      <c r="C306" s="14" t="s">
        <v>181</v>
      </c>
      <c r="D306" s="14" t="s">
        <v>182</v>
      </c>
    </row>
    <row r="307" spans="1:4" x14ac:dyDescent="0.2">
      <c r="A307" s="14">
        <v>21394105</v>
      </c>
      <c r="B307" s="14"/>
      <c r="C307" s="14" t="s">
        <v>181</v>
      </c>
      <c r="D307" s="14" t="s">
        <v>182</v>
      </c>
    </row>
    <row r="308" spans="1:4" x14ac:dyDescent="0.2">
      <c r="A308" s="14">
        <v>21394106</v>
      </c>
      <c r="B308" s="14"/>
      <c r="C308" s="14" t="s">
        <v>181</v>
      </c>
      <c r="D308" s="14" t="s">
        <v>182</v>
      </c>
    </row>
    <row r="309" spans="1:4" x14ac:dyDescent="0.2">
      <c r="A309" s="14">
        <v>21394106</v>
      </c>
      <c r="B309" s="14"/>
      <c r="C309" s="14" t="s">
        <v>181</v>
      </c>
      <c r="D309" s="14" t="s">
        <v>182</v>
      </c>
    </row>
    <row r="310" spans="1:4" x14ac:dyDescent="0.2">
      <c r="A310" s="14">
        <v>21394107</v>
      </c>
      <c r="B310" s="14"/>
      <c r="C310" s="14" t="s">
        <v>181</v>
      </c>
      <c r="D310" s="14" t="s">
        <v>182</v>
      </c>
    </row>
    <row r="311" spans="1:4" x14ac:dyDescent="0.2">
      <c r="A311" s="14">
        <v>21394108</v>
      </c>
      <c r="B311" s="14"/>
      <c r="C311" s="14" t="s">
        <v>181</v>
      </c>
      <c r="D311" s="14" t="s">
        <v>182</v>
      </c>
    </row>
    <row r="312" spans="1:4" x14ac:dyDescent="0.2">
      <c r="A312" s="14">
        <v>21409501</v>
      </c>
      <c r="B312" s="14"/>
      <c r="C312" s="14" t="s">
        <v>181</v>
      </c>
      <c r="D312" s="14" t="s">
        <v>182</v>
      </c>
    </row>
    <row r="313" spans="1:4" x14ac:dyDescent="0.2">
      <c r="A313" s="14">
        <v>21436501</v>
      </c>
      <c r="B313" s="14"/>
      <c r="C313" s="14" t="s">
        <v>181</v>
      </c>
      <c r="D313" s="14" t="s">
        <v>182</v>
      </c>
    </row>
    <row r="314" spans="1:4" x14ac:dyDescent="0.2">
      <c r="A314" s="14">
        <v>21436502</v>
      </c>
      <c r="B314" s="14"/>
      <c r="C314" s="14" t="s">
        <v>181</v>
      </c>
      <c r="D314" s="14" t="s">
        <v>182</v>
      </c>
    </row>
    <row r="315" spans="1:4" x14ac:dyDescent="0.2">
      <c r="A315" s="14">
        <v>21436503</v>
      </c>
      <c r="B315" s="14"/>
      <c r="C315" s="14" t="s">
        <v>181</v>
      </c>
      <c r="D315" s="14" t="s">
        <v>182</v>
      </c>
    </row>
    <row r="316" spans="1:4" x14ac:dyDescent="0.2">
      <c r="A316" s="14">
        <v>21445601</v>
      </c>
      <c r="B316" s="14"/>
      <c r="C316" s="14" t="s">
        <v>181</v>
      </c>
      <c r="D316" s="14" t="s">
        <v>182</v>
      </c>
    </row>
    <row r="317" spans="1:4" x14ac:dyDescent="0.2">
      <c r="A317" s="14">
        <v>21681401</v>
      </c>
      <c r="B317" s="14"/>
      <c r="C317" s="14" t="s">
        <v>181</v>
      </c>
      <c r="D317" s="14" t="s">
        <v>182</v>
      </c>
    </row>
    <row r="318" spans="1:4" x14ac:dyDescent="0.2">
      <c r="A318" s="14">
        <v>21713501</v>
      </c>
      <c r="B318" s="14"/>
      <c r="C318" s="14" t="s">
        <v>181</v>
      </c>
      <c r="D318" s="14" t="s">
        <v>182</v>
      </c>
    </row>
    <row r="319" spans="1:4" x14ac:dyDescent="0.2">
      <c r="A319" s="14">
        <v>21713502</v>
      </c>
      <c r="B319" s="14"/>
      <c r="C319" s="14" t="s">
        <v>181</v>
      </c>
      <c r="D319" s="14" t="s">
        <v>182</v>
      </c>
    </row>
    <row r="320" spans="1:4" x14ac:dyDescent="0.2">
      <c r="A320" s="14">
        <v>21713503</v>
      </c>
      <c r="B320" s="14"/>
      <c r="C320" s="14" t="s">
        <v>181</v>
      </c>
      <c r="D320" s="14" t="s">
        <v>182</v>
      </c>
    </row>
    <row r="321" spans="1:4" x14ac:dyDescent="0.2">
      <c r="A321" s="14">
        <v>21713505</v>
      </c>
      <c r="B321" s="14"/>
      <c r="C321" s="14" t="s">
        <v>181</v>
      </c>
      <c r="D321" s="14" t="s">
        <v>182</v>
      </c>
    </row>
    <row r="322" spans="1:4" x14ac:dyDescent="0.2">
      <c r="A322" s="14">
        <v>21713506</v>
      </c>
      <c r="B322" s="14"/>
      <c r="C322" s="14" t="s">
        <v>181</v>
      </c>
      <c r="D322" s="14" t="s">
        <v>182</v>
      </c>
    </row>
    <row r="323" spans="1:4" x14ac:dyDescent="0.2">
      <c r="A323" s="14">
        <v>21713507</v>
      </c>
      <c r="B323" s="14"/>
      <c r="C323" s="14" t="s">
        <v>181</v>
      </c>
      <c r="D323" s="14" t="s">
        <v>182</v>
      </c>
    </row>
    <row r="324" spans="1:4" x14ac:dyDescent="0.2">
      <c r="A324" s="14">
        <v>21713508</v>
      </c>
      <c r="B324" s="14"/>
      <c r="C324" s="14" t="s">
        <v>181</v>
      </c>
      <c r="D324" s="14" t="s">
        <v>182</v>
      </c>
    </row>
    <row r="325" spans="1:4" x14ac:dyDescent="0.2">
      <c r="A325" s="14">
        <v>21846501</v>
      </c>
      <c r="B325" s="14"/>
      <c r="C325" s="14" t="s">
        <v>181</v>
      </c>
      <c r="D325" s="14" t="s">
        <v>182</v>
      </c>
    </row>
    <row r="326" spans="1:4" x14ac:dyDescent="0.2">
      <c r="A326" s="14">
        <v>21846502</v>
      </c>
      <c r="B326" s="14"/>
      <c r="C326" s="14" t="s">
        <v>181</v>
      </c>
      <c r="D326" s="14" t="s">
        <v>182</v>
      </c>
    </row>
    <row r="327" spans="1:4" x14ac:dyDescent="0.2">
      <c r="A327" s="14">
        <v>21894301</v>
      </c>
      <c r="B327" s="14"/>
      <c r="C327" s="14" t="s">
        <v>181</v>
      </c>
      <c r="D327" s="14" t="s">
        <v>182</v>
      </c>
    </row>
    <row r="328" spans="1:4" x14ac:dyDescent="0.2">
      <c r="A328" s="14">
        <v>21894302</v>
      </c>
      <c r="B328" s="14"/>
      <c r="C328" s="14" t="s">
        <v>181</v>
      </c>
      <c r="D328" s="14" t="s">
        <v>182</v>
      </c>
    </row>
    <row r="329" spans="1:4" x14ac:dyDescent="0.2">
      <c r="A329" s="14">
        <v>22065002</v>
      </c>
      <c r="B329" s="14"/>
      <c r="C329" s="14" t="s">
        <v>181</v>
      </c>
      <c r="D329" s="14" t="s">
        <v>182</v>
      </c>
    </row>
    <row r="330" spans="1:4" x14ac:dyDescent="0.2">
      <c r="A330" s="14">
        <v>22065004</v>
      </c>
      <c r="B330" s="14"/>
      <c r="C330" s="14" t="s">
        <v>181</v>
      </c>
      <c r="D330" s="14" t="s">
        <v>182</v>
      </c>
    </row>
    <row r="331" spans="1:4" x14ac:dyDescent="0.2">
      <c r="A331" s="14">
        <v>22313401</v>
      </c>
      <c r="B331" s="14"/>
      <c r="C331" s="14" t="s">
        <v>181</v>
      </c>
      <c r="D331" s="14" t="s">
        <v>182</v>
      </c>
    </row>
    <row r="332" spans="1:4" x14ac:dyDescent="0.2">
      <c r="A332" s="14">
        <v>22313402</v>
      </c>
      <c r="B332" s="14"/>
      <c r="C332" s="14" t="s">
        <v>181</v>
      </c>
      <c r="D332" s="14" t="s">
        <v>182</v>
      </c>
    </row>
    <row r="333" spans="1:4" x14ac:dyDescent="0.2">
      <c r="A333" s="14">
        <v>22313403</v>
      </c>
      <c r="B333" s="14"/>
      <c r="C333" s="14" t="s">
        <v>181</v>
      </c>
      <c r="D333" s="14" t="s">
        <v>182</v>
      </c>
    </row>
    <row r="334" spans="1:4" x14ac:dyDescent="0.2">
      <c r="A334" s="14">
        <v>22313404</v>
      </c>
      <c r="B334" s="14"/>
      <c r="C334" s="14" t="s">
        <v>181</v>
      </c>
      <c r="D334" s="14" t="s">
        <v>182</v>
      </c>
    </row>
    <row r="335" spans="1:4" x14ac:dyDescent="0.2">
      <c r="A335" s="14">
        <v>22578501</v>
      </c>
      <c r="B335" s="14"/>
      <c r="C335" s="14" t="s">
        <v>181</v>
      </c>
      <c r="D335" s="14" t="s">
        <v>183</v>
      </c>
    </row>
    <row r="336" spans="1:4" x14ac:dyDescent="0.2">
      <c r="A336" s="14">
        <v>22579501</v>
      </c>
      <c r="B336" s="14"/>
      <c r="C336" s="14" t="s">
        <v>181</v>
      </c>
      <c r="D336" s="14" t="s">
        <v>183</v>
      </c>
    </row>
    <row r="337" spans="1:4" x14ac:dyDescent="0.2">
      <c r="A337" s="14">
        <v>22586101</v>
      </c>
      <c r="B337" s="14"/>
      <c r="C337" s="14" t="s">
        <v>181</v>
      </c>
      <c r="D337" s="14" t="s">
        <v>183</v>
      </c>
    </row>
    <row r="338" spans="1:4" x14ac:dyDescent="0.2">
      <c r="A338" s="14">
        <v>22586301</v>
      </c>
      <c r="B338" s="14"/>
      <c r="C338" s="14" t="s">
        <v>181</v>
      </c>
      <c r="D338" s="14" t="s">
        <v>183</v>
      </c>
    </row>
    <row r="339" spans="1:4" x14ac:dyDescent="0.2">
      <c r="A339" s="14">
        <v>22607501</v>
      </c>
      <c r="B339" s="14"/>
      <c r="C339" s="14" t="s">
        <v>181</v>
      </c>
      <c r="D339" s="14" t="s">
        <v>183</v>
      </c>
    </row>
    <row r="340" spans="1:4" x14ac:dyDescent="0.2">
      <c r="A340" s="14">
        <v>22607502</v>
      </c>
      <c r="B340" s="14"/>
      <c r="C340" s="14" t="s">
        <v>181</v>
      </c>
      <c r="D340" s="14" t="s">
        <v>183</v>
      </c>
    </row>
    <row r="341" spans="1:4" x14ac:dyDescent="0.2">
      <c r="A341" s="14">
        <v>22618701</v>
      </c>
      <c r="B341" s="14"/>
      <c r="C341" s="14" t="s">
        <v>181</v>
      </c>
      <c r="D341" s="14" t="s">
        <v>183</v>
      </c>
    </row>
    <row r="342" spans="1:4" x14ac:dyDescent="0.2">
      <c r="A342" s="14">
        <v>22618702</v>
      </c>
      <c r="B342" s="14"/>
      <c r="C342" s="14" t="s">
        <v>181</v>
      </c>
      <c r="D342" s="14" t="s">
        <v>183</v>
      </c>
    </row>
    <row r="343" spans="1:4" x14ac:dyDescent="0.2">
      <c r="A343" s="14">
        <v>22618703</v>
      </c>
      <c r="B343" s="14"/>
      <c r="C343" s="14" t="s">
        <v>181</v>
      </c>
      <c r="D343" s="14" t="s">
        <v>183</v>
      </c>
    </row>
    <row r="344" spans="1:4" x14ac:dyDescent="0.2">
      <c r="A344" s="14">
        <v>22644801</v>
      </c>
      <c r="B344" s="14"/>
      <c r="C344" s="14" t="s">
        <v>181</v>
      </c>
      <c r="D344" s="14" t="s">
        <v>183</v>
      </c>
    </row>
    <row r="345" spans="1:4" x14ac:dyDescent="0.2">
      <c r="A345" s="14">
        <v>22644802</v>
      </c>
      <c r="B345" s="14"/>
      <c r="C345" s="14" t="s">
        <v>181</v>
      </c>
      <c r="D345" s="14" t="s">
        <v>183</v>
      </c>
    </row>
    <row r="346" spans="1:4" x14ac:dyDescent="0.2">
      <c r="A346" s="14">
        <v>22644901</v>
      </c>
      <c r="B346" s="14"/>
      <c r="C346" s="14" t="s">
        <v>181</v>
      </c>
      <c r="D346" s="14" t="s">
        <v>183</v>
      </c>
    </row>
    <row r="347" spans="1:4" x14ac:dyDescent="0.2">
      <c r="A347" s="14">
        <v>22645001</v>
      </c>
      <c r="B347" s="14"/>
      <c r="C347" s="14" t="s">
        <v>181</v>
      </c>
      <c r="D347" s="14" t="s">
        <v>183</v>
      </c>
    </row>
    <row r="348" spans="1:4" x14ac:dyDescent="0.2">
      <c r="A348" s="14">
        <v>22968401</v>
      </c>
      <c r="B348" s="14"/>
      <c r="C348" s="14" t="s">
        <v>181</v>
      </c>
      <c r="D348" s="14" t="s">
        <v>183</v>
      </c>
    </row>
    <row r="349" spans="1:4" x14ac:dyDescent="0.2">
      <c r="A349" s="14">
        <v>22968404</v>
      </c>
      <c r="B349" s="14"/>
      <c r="C349" s="14" t="s">
        <v>181</v>
      </c>
      <c r="D349" s="14" t="s">
        <v>183</v>
      </c>
    </row>
    <row r="350" spans="1:4" x14ac:dyDescent="0.2">
      <c r="A350" s="14">
        <v>22974401</v>
      </c>
      <c r="B350" s="14"/>
      <c r="C350" s="14" t="s">
        <v>181</v>
      </c>
      <c r="D350" s="14" t="s">
        <v>183</v>
      </c>
    </row>
    <row r="351" spans="1:4" x14ac:dyDescent="0.2">
      <c r="A351" s="14">
        <v>22974403</v>
      </c>
      <c r="B351" s="14"/>
      <c r="C351" s="14" t="s">
        <v>181</v>
      </c>
      <c r="D351" s="14" t="s">
        <v>183</v>
      </c>
    </row>
    <row r="352" spans="1:4" x14ac:dyDescent="0.2">
      <c r="A352" s="14">
        <v>22974407</v>
      </c>
      <c r="B352" s="14"/>
      <c r="C352" s="14" t="s">
        <v>181</v>
      </c>
      <c r="D352" s="14" t="s">
        <v>183</v>
      </c>
    </row>
    <row r="353" spans="1:4" x14ac:dyDescent="0.2">
      <c r="A353" s="14">
        <v>22974408</v>
      </c>
      <c r="B353" s="14"/>
      <c r="C353" s="14" t="s">
        <v>181</v>
      </c>
      <c r="D353" s="14" t="s">
        <v>183</v>
      </c>
    </row>
    <row r="354" spans="1:4" x14ac:dyDescent="0.2">
      <c r="A354" s="14">
        <v>22974409</v>
      </c>
      <c r="B354" s="14"/>
      <c r="C354" s="14" t="s">
        <v>181</v>
      </c>
      <c r="D354" s="14" t="s">
        <v>183</v>
      </c>
    </row>
    <row r="355" spans="1:4" x14ac:dyDescent="0.2">
      <c r="A355" s="14">
        <v>22974410</v>
      </c>
      <c r="B355" s="14"/>
      <c r="C355" s="14" t="s">
        <v>181</v>
      </c>
      <c r="D355" s="14" t="s">
        <v>183</v>
      </c>
    </row>
    <row r="356" spans="1:4" x14ac:dyDescent="0.2">
      <c r="A356" s="14">
        <v>23406401</v>
      </c>
      <c r="B356" s="14"/>
      <c r="C356" s="14" t="s">
        <v>181</v>
      </c>
      <c r="D356" s="14" t="s">
        <v>183</v>
      </c>
    </row>
    <row r="357" spans="1:4" x14ac:dyDescent="0.2">
      <c r="A357" s="14">
        <v>23406501</v>
      </c>
      <c r="B357" s="14"/>
      <c r="C357" s="14" t="s">
        <v>181</v>
      </c>
      <c r="D357" s="14" t="s">
        <v>183</v>
      </c>
    </row>
    <row r="358" spans="1:4" x14ac:dyDescent="0.2">
      <c r="A358" s="14">
        <v>23406601</v>
      </c>
      <c r="B358" s="14"/>
      <c r="C358" s="14" t="s">
        <v>181</v>
      </c>
      <c r="D358" s="14" t="s">
        <v>183</v>
      </c>
    </row>
    <row r="359" spans="1:4" x14ac:dyDescent="0.2">
      <c r="A359" s="14">
        <v>23406602</v>
      </c>
      <c r="B359" s="14"/>
      <c r="C359" s="14" t="s">
        <v>181</v>
      </c>
      <c r="D359" s="14" t="s">
        <v>183</v>
      </c>
    </row>
    <row r="360" spans="1:4" x14ac:dyDescent="0.2">
      <c r="A360" s="14">
        <v>23406701</v>
      </c>
      <c r="B360" s="14"/>
      <c r="C360" s="14" t="s">
        <v>181</v>
      </c>
      <c r="D360" s="14" t="s">
        <v>183</v>
      </c>
    </row>
    <row r="361" spans="1:4" x14ac:dyDescent="0.2">
      <c r="A361" s="14">
        <v>23406702</v>
      </c>
      <c r="B361" s="14"/>
      <c r="C361" s="14" t="s">
        <v>181</v>
      </c>
      <c r="D361" s="14" t="s">
        <v>183</v>
      </c>
    </row>
    <row r="362" spans="1:4" x14ac:dyDescent="0.2">
      <c r="A362" s="14">
        <v>23896601</v>
      </c>
      <c r="B362" s="14"/>
      <c r="C362" s="14" t="s">
        <v>181</v>
      </c>
      <c r="D362" s="14" t="s">
        <v>182</v>
      </c>
    </row>
    <row r="363" spans="1:4" x14ac:dyDescent="0.2">
      <c r="A363" s="14">
        <v>23896602</v>
      </c>
      <c r="B363" s="14"/>
      <c r="C363" s="14" t="s">
        <v>181</v>
      </c>
      <c r="D363" s="14" t="s">
        <v>182</v>
      </c>
    </row>
    <row r="364" spans="1:4" x14ac:dyDescent="0.2">
      <c r="A364" s="14">
        <v>24080301</v>
      </c>
      <c r="B364" s="14"/>
      <c r="C364" s="14" t="s">
        <v>181</v>
      </c>
      <c r="D364" s="14" t="s">
        <v>183</v>
      </c>
    </row>
    <row r="365" spans="1:4" x14ac:dyDescent="0.2">
      <c r="A365" s="14">
        <v>24088201</v>
      </c>
      <c r="B365" s="14"/>
      <c r="C365" s="14" t="s">
        <v>181</v>
      </c>
      <c r="D365" s="14" t="s">
        <v>183</v>
      </c>
    </row>
    <row r="366" spans="1:4" x14ac:dyDescent="0.2">
      <c r="A366" s="14">
        <v>24194201</v>
      </c>
      <c r="B366" s="14"/>
      <c r="C366" s="14" t="s">
        <v>181</v>
      </c>
      <c r="D366" s="14" t="s">
        <v>183</v>
      </c>
    </row>
    <row r="367" spans="1:4" x14ac:dyDescent="0.2">
      <c r="A367" s="14">
        <v>24293701</v>
      </c>
      <c r="B367" s="14"/>
      <c r="C367" s="14" t="s">
        <v>181</v>
      </c>
      <c r="D367" s="14" t="s">
        <v>183</v>
      </c>
    </row>
    <row r="368" spans="1:4" x14ac:dyDescent="0.2">
      <c r="A368" s="14">
        <v>24472201</v>
      </c>
      <c r="B368" s="14"/>
      <c r="C368" s="14" t="s">
        <v>181</v>
      </c>
      <c r="D368" s="14" t="s">
        <v>183</v>
      </c>
    </row>
    <row r="369" spans="1:4" x14ac:dyDescent="0.2">
      <c r="A369" s="14">
        <v>24472202</v>
      </c>
      <c r="B369" s="14"/>
      <c r="C369" s="14" t="s">
        <v>181</v>
      </c>
      <c r="D369" s="14" t="s">
        <v>183</v>
      </c>
    </row>
    <row r="370" spans="1:4" x14ac:dyDescent="0.2">
      <c r="A370" s="14">
        <v>24491701</v>
      </c>
      <c r="B370" s="14"/>
      <c r="C370" s="14" t="s">
        <v>181</v>
      </c>
      <c r="D370" s="14" t="s">
        <v>182</v>
      </c>
    </row>
    <row r="371" spans="1:4" x14ac:dyDescent="0.2">
      <c r="A371" s="14">
        <v>24492201</v>
      </c>
      <c r="B371" s="14"/>
      <c r="C371" s="14" t="s">
        <v>181</v>
      </c>
      <c r="D371" s="14" t="s">
        <v>183</v>
      </c>
    </row>
    <row r="372" spans="1:4" x14ac:dyDescent="0.2">
      <c r="A372" s="14">
        <v>25057401</v>
      </c>
      <c r="B372" s="14"/>
      <c r="C372" s="14" t="s">
        <v>181</v>
      </c>
      <c r="D372" s="14" t="s">
        <v>183</v>
      </c>
    </row>
    <row r="373" spans="1:4" x14ac:dyDescent="0.2">
      <c r="A373" s="14">
        <v>25057501</v>
      </c>
      <c r="B373" s="14"/>
      <c r="C373" s="14" t="s">
        <v>181</v>
      </c>
      <c r="D373" s="14" t="s">
        <v>183</v>
      </c>
    </row>
    <row r="374" spans="1:4" x14ac:dyDescent="0.2">
      <c r="A374" s="14">
        <v>25201901</v>
      </c>
      <c r="B374" s="14"/>
      <c r="C374" s="14" t="s">
        <v>181</v>
      </c>
      <c r="D374" s="14" t="s">
        <v>183</v>
      </c>
    </row>
    <row r="375" spans="1:4" x14ac:dyDescent="0.2">
      <c r="A375" s="14">
        <v>25201902</v>
      </c>
      <c r="B375" s="14"/>
      <c r="C375" s="14" t="s">
        <v>181</v>
      </c>
      <c r="D375" s="14" t="s">
        <v>183</v>
      </c>
    </row>
    <row r="376" spans="1:4" x14ac:dyDescent="0.2">
      <c r="A376" s="14">
        <v>25351401</v>
      </c>
      <c r="B376" s="14"/>
      <c r="C376" s="14" t="s">
        <v>181</v>
      </c>
      <c r="D376" s="14" t="s">
        <v>183</v>
      </c>
    </row>
    <row r="377" spans="1:4" x14ac:dyDescent="0.2">
      <c r="A377" s="14">
        <v>25423001</v>
      </c>
      <c r="B377" s="14"/>
      <c r="C377" s="14" t="s">
        <v>181</v>
      </c>
      <c r="D377" s="14" t="s">
        <v>183</v>
      </c>
    </row>
    <row r="378" spans="1:4" x14ac:dyDescent="0.2">
      <c r="A378" s="14">
        <v>25933401</v>
      </c>
      <c r="B378" s="14"/>
      <c r="C378" s="14" t="s">
        <v>181</v>
      </c>
      <c r="D378" s="14" t="s">
        <v>183</v>
      </c>
    </row>
    <row r="379" spans="1:4" x14ac:dyDescent="0.2">
      <c r="A379" s="14">
        <v>25933403</v>
      </c>
      <c r="B379" s="14"/>
      <c r="C379" s="14" t="s">
        <v>181</v>
      </c>
      <c r="D379" s="14" t="s">
        <v>183</v>
      </c>
    </row>
    <row r="380" spans="1:4" x14ac:dyDescent="0.2">
      <c r="A380" s="14">
        <v>25966201</v>
      </c>
      <c r="B380" s="14"/>
      <c r="C380" s="14" t="s">
        <v>181</v>
      </c>
      <c r="D380" s="14" t="s">
        <v>182</v>
      </c>
    </row>
    <row r="381" spans="1:4" x14ac:dyDescent="0.2">
      <c r="A381" s="14">
        <v>25966202</v>
      </c>
      <c r="B381" s="14"/>
      <c r="C381" s="14" t="s">
        <v>181</v>
      </c>
      <c r="D381" s="14" t="s">
        <v>182</v>
      </c>
    </row>
    <row r="382" spans="1:4" x14ac:dyDescent="0.2">
      <c r="A382" s="14">
        <v>26515801</v>
      </c>
      <c r="B382" s="14"/>
      <c r="C382" s="14" t="s">
        <v>181</v>
      </c>
      <c r="D382" s="14" t="s">
        <v>183</v>
      </c>
    </row>
    <row r="383" spans="1:4" x14ac:dyDescent="0.2">
      <c r="A383" s="14">
        <v>26515803</v>
      </c>
      <c r="B383" s="14"/>
      <c r="C383" s="14" t="s">
        <v>181</v>
      </c>
      <c r="D383" s="14" t="s">
        <v>183</v>
      </c>
    </row>
    <row r="384" spans="1:4" x14ac:dyDescent="0.2">
      <c r="A384" s="14" t="s">
        <v>184</v>
      </c>
      <c r="B384" s="14"/>
      <c r="C384" s="14" t="s">
        <v>181</v>
      </c>
      <c r="D384" s="14" t="s">
        <v>183</v>
      </c>
    </row>
    <row r="385" spans="1:4" x14ac:dyDescent="0.2">
      <c r="A385" s="14" t="s">
        <v>185</v>
      </c>
      <c r="B385" s="14"/>
      <c r="C385" s="14" t="s">
        <v>181</v>
      </c>
      <c r="D385" s="14" t="s">
        <v>183</v>
      </c>
    </row>
    <row r="386" spans="1:4" x14ac:dyDescent="0.2">
      <c r="A386" s="14" t="s">
        <v>186</v>
      </c>
      <c r="B386" s="14"/>
      <c r="C386" s="14" t="s">
        <v>181</v>
      </c>
      <c r="D386" s="14" t="s">
        <v>183</v>
      </c>
    </row>
    <row r="387" spans="1:4" x14ac:dyDescent="0.2">
      <c r="A387" s="14" t="s">
        <v>187</v>
      </c>
      <c r="B387" s="14"/>
      <c r="C387" s="14" t="s">
        <v>181</v>
      </c>
      <c r="D387" s="14" t="s">
        <v>183</v>
      </c>
    </row>
    <row r="388" spans="1:4" x14ac:dyDescent="0.2">
      <c r="A388" s="14" t="s">
        <v>188</v>
      </c>
      <c r="B388" s="14"/>
      <c r="C388" s="14" t="s">
        <v>181</v>
      </c>
      <c r="D388" s="14" t="s">
        <v>183</v>
      </c>
    </row>
    <row r="389" spans="1:4" x14ac:dyDescent="0.2">
      <c r="A389" s="14" t="s">
        <v>189</v>
      </c>
      <c r="B389" s="14"/>
      <c r="C389" s="14" t="s">
        <v>181</v>
      </c>
      <c r="D389" s="14" t="s">
        <v>183</v>
      </c>
    </row>
    <row r="390" spans="1:4" x14ac:dyDescent="0.2">
      <c r="A390" s="14" t="s">
        <v>190</v>
      </c>
      <c r="B390" s="14"/>
      <c r="C390" s="14" t="s">
        <v>181</v>
      </c>
      <c r="D390" s="14" t="s">
        <v>183</v>
      </c>
    </row>
    <row r="391" spans="1:4" x14ac:dyDescent="0.2">
      <c r="A391" s="14" t="s">
        <v>191</v>
      </c>
      <c r="B391" s="14"/>
      <c r="C391" s="14" t="s">
        <v>181</v>
      </c>
      <c r="D391" s="14"/>
    </row>
    <row r="392" spans="1:4" x14ac:dyDescent="0.2">
      <c r="A392" s="14" t="s">
        <v>192</v>
      </c>
      <c r="B392" s="14"/>
      <c r="C392" s="14" t="s">
        <v>181</v>
      </c>
      <c r="D392" s="14"/>
    </row>
    <row r="393" spans="1:4" x14ac:dyDescent="0.2">
      <c r="A393" s="14" t="s">
        <v>193</v>
      </c>
      <c r="B393" s="14"/>
      <c r="C393" s="14" t="s">
        <v>181</v>
      </c>
      <c r="D393" s="14" t="s">
        <v>183</v>
      </c>
    </row>
    <row r="394" spans="1:4" x14ac:dyDescent="0.2">
      <c r="A394" s="14" t="s">
        <v>194</v>
      </c>
      <c r="B394" s="14"/>
      <c r="C394" s="14" t="s">
        <v>181</v>
      </c>
      <c r="D394" s="14" t="s">
        <v>183</v>
      </c>
    </row>
    <row r="395" spans="1:4" x14ac:dyDescent="0.2">
      <c r="A395" s="14" t="s">
        <v>195</v>
      </c>
      <c r="B395" s="14"/>
      <c r="C395" s="14" t="s">
        <v>181</v>
      </c>
      <c r="D395" s="14" t="s">
        <v>183</v>
      </c>
    </row>
    <row r="396" spans="1:4" x14ac:dyDescent="0.2">
      <c r="A396" s="14" t="s">
        <v>196</v>
      </c>
      <c r="B396" s="14"/>
      <c r="C396" s="14" t="s">
        <v>181</v>
      </c>
      <c r="D396" s="14" t="s">
        <v>183</v>
      </c>
    </row>
    <row r="397" spans="1:4" x14ac:dyDescent="0.2">
      <c r="A397" s="14" t="s">
        <v>197</v>
      </c>
      <c r="B397" s="14"/>
      <c r="C397" s="14" t="s">
        <v>181</v>
      </c>
      <c r="D397" s="14" t="s">
        <v>183</v>
      </c>
    </row>
    <row r="398" spans="1:4" x14ac:dyDescent="0.2">
      <c r="A398" s="14" t="s">
        <v>198</v>
      </c>
      <c r="B398" s="14"/>
      <c r="C398" s="14" t="s">
        <v>181</v>
      </c>
      <c r="D398" s="14" t="s">
        <v>182</v>
      </c>
    </row>
    <row r="399" spans="1:4" x14ac:dyDescent="0.2">
      <c r="A399" s="14" t="s">
        <v>199</v>
      </c>
      <c r="B399" s="14"/>
      <c r="C399" s="14" t="s">
        <v>181</v>
      </c>
      <c r="D399" s="14" t="s">
        <v>182</v>
      </c>
    </row>
    <row r="400" spans="1:4" x14ac:dyDescent="0.2">
      <c r="A400" s="14" t="s">
        <v>200</v>
      </c>
      <c r="B400" s="14"/>
      <c r="C400" s="14" t="s">
        <v>181</v>
      </c>
      <c r="D400" s="14" t="s">
        <v>183</v>
      </c>
    </row>
    <row r="401" spans="1:4" x14ac:dyDescent="0.2">
      <c r="A401" s="14" t="s">
        <v>201</v>
      </c>
      <c r="B401" s="14"/>
      <c r="C401" s="14" t="s">
        <v>181</v>
      </c>
      <c r="D401" s="14" t="s">
        <v>183</v>
      </c>
    </row>
    <row r="402" spans="1:4" x14ac:dyDescent="0.2">
      <c r="A402" s="14" t="s">
        <v>202</v>
      </c>
      <c r="B402" s="14"/>
      <c r="C402" s="14" t="s">
        <v>181</v>
      </c>
      <c r="D402" s="14" t="s">
        <v>183</v>
      </c>
    </row>
    <row r="403" spans="1:4" x14ac:dyDescent="0.2">
      <c r="A403" s="14" t="s">
        <v>203</v>
      </c>
      <c r="B403" s="14"/>
      <c r="C403" s="14" t="s">
        <v>181</v>
      </c>
      <c r="D403" s="14" t="s">
        <v>183</v>
      </c>
    </row>
    <row r="404" spans="1:4" x14ac:dyDescent="0.2">
      <c r="A404" s="14" t="s">
        <v>204</v>
      </c>
      <c r="B404" s="14"/>
      <c r="C404" s="14" t="s">
        <v>181</v>
      </c>
      <c r="D404" s="14" t="s">
        <v>183</v>
      </c>
    </row>
    <row r="405" spans="1:4" x14ac:dyDescent="0.2">
      <c r="A405" s="14" t="s">
        <v>205</v>
      </c>
      <c r="B405" s="14"/>
      <c r="C405" s="14" t="s">
        <v>181</v>
      </c>
      <c r="D405" s="14" t="s">
        <v>182</v>
      </c>
    </row>
    <row r="406" spans="1:4" x14ac:dyDescent="0.2">
      <c r="A406" s="14" t="s">
        <v>206</v>
      </c>
      <c r="B406" s="14"/>
      <c r="C406" s="14" t="s">
        <v>181</v>
      </c>
      <c r="D406" s="14" t="s">
        <v>182</v>
      </c>
    </row>
    <row r="407" spans="1:4" x14ac:dyDescent="0.2">
      <c r="A407" s="14" t="s">
        <v>207</v>
      </c>
      <c r="B407" s="14"/>
      <c r="C407" s="14" t="s">
        <v>181</v>
      </c>
      <c r="D407" s="14" t="s">
        <v>182</v>
      </c>
    </row>
    <row r="408" spans="1:4" x14ac:dyDescent="0.2">
      <c r="A408" s="14" t="s">
        <v>208</v>
      </c>
      <c r="B408" s="14"/>
      <c r="C408" s="14" t="s">
        <v>181</v>
      </c>
      <c r="D408" s="14" t="s">
        <v>182</v>
      </c>
    </row>
    <row r="409" spans="1:4" x14ac:dyDescent="0.2">
      <c r="A409" s="14" t="s">
        <v>209</v>
      </c>
      <c r="B409" s="14"/>
      <c r="C409" s="14" t="s">
        <v>181</v>
      </c>
      <c r="D409" s="14" t="s">
        <v>182</v>
      </c>
    </row>
    <row r="410" spans="1:4" x14ac:dyDescent="0.2">
      <c r="A410" s="14" t="s">
        <v>210</v>
      </c>
      <c r="B410" s="14"/>
      <c r="C410" s="14" t="s">
        <v>181</v>
      </c>
      <c r="D410" s="14" t="s">
        <v>182</v>
      </c>
    </row>
    <row r="411" spans="1:4" x14ac:dyDescent="0.2">
      <c r="A411" s="14" t="s">
        <v>211</v>
      </c>
      <c r="B411" s="14"/>
      <c r="C411" s="14" t="s">
        <v>181</v>
      </c>
      <c r="D411" s="14" t="s">
        <v>182</v>
      </c>
    </row>
    <row r="412" spans="1:4" x14ac:dyDescent="0.2">
      <c r="A412" s="14" t="s">
        <v>212</v>
      </c>
      <c r="B412" s="14"/>
      <c r="C412" s="14" t="s">
        <v>181</v>
      </c>
      <c r="D412" s="14" t="s">
        <v>182</v>
      </c>
    </row>
    <row r="413" spans="1:4" x14ac:dyDescent="0.2">
      <c r="A413" s="14" t="s">
        <v>213</v>
      </c>
      <c r="B413" s="14"/>
      <c r="C413" s="14" t="s">
        <v>181</v>
      </c>
      <c r="D413" s="14" t="s">
        <v>182</v>
      </c>
    </row>
    <row r="414" spans="1:4" x14ac:dyDescent="0.2">
      <c r="A414" s="14" t="s">
        <v>214</v>
      </c>
      <c r="B414" s="14"/>
      <c r="C414" s="14" t="s">
        <v>181</v>
      </c>
      <c r="D414" s="14" t="s">
        <v>182</v>
      </c>
    </row>
    <row r="415" spans="1:4" x14ac:dyDescent="0.2">
      <c r="A415" s="14" t="s">
        <v>215</v>
      </c>
      <c r="B415" s="14"/>
      <c r="C415" s="14" t="s">
        <v>181</v>
      </c>
      <c r="D415" s="14" t="s">
        <v>182</v>
      </c>
    </row>
    <row r="416" spans="1:4" x14ac:dyDescent="0.2">
      <c r="A416" s="14" t="s">
        <v>216</v>
      </c>
      <c r="B416" s="14"/>
      <c r="C416" s="14" t="s">
        <v>181</v>
      </c>
      <c r="D416" s="14" t="s">
        <v>182</v>
      </c>
    </row>
    <row r="417" spans="1:4" x14ac:dyDescent="0.2">
      <c r="A417" s="14" t="s">
        <v>217</v>
      </c>
      <c r="B417" s="14"/>
      <c r="C417" s="14" t="s">
        <v>181</v>
      </c>
      <c r="D417" s="14" t="s">
        <v>182</v>
      </c>
    </row>
    <row r="418" spans="1:4" x14ac:dyDescent="0.2">
      <c r="A418" s="14" t="s">
        <v>218</v>
      </c>
      <c r="B418" s="14"/>
      <c r="C418" s="14" t="s">
        <v>181</v>
      </c>
      <c r="D418" s="14" t="s">
        <v>182</v>
      </c>
    </row>
    <row r="419" spans="1:4" x14ac:dyDescent="0.2">
      <c r="A419" s="14" t="s">
        <v>219</v>
      </c>
      <c r="B419" s="14"/>
      <c r="C419" s="14" t="s">
        <v>181</v>
      </c>
      <c r="D419" s="14" t="s">
        <v>182</v>
      </c>
    </row>
    <row r="420" spans="1:4" x14ac:dyDescent="0.2">
      <c r="A420" s="14" t="s">
        <v>220</v>
      </c>
      <c r="B420" s="14"/>
      <c r="C420" s="14" t="s">
        <v>181</v>
      </c>
      <c r="D420" s="14" t="s">
        <v>182</v>
      </c>
    </row>
    <row r="421" spans="1:4" x14ac:dyDescent="0.2">
      <c r="A421" s="14" t="s">
        <v>221</v>
      </c>
      <c r="B421" s="14"/>
      <c r="C421" s="14" t="s">
        <v>181</v>
      </c>
      <c r="D421" s="14" t="s">
        <v>182</v>
      </c>
    </row>
    <row r="422" spans="1:4" x14ac:dyDescent="0.2">
      <c r="A422" s="14" t="s">
        <v>222</v>
      </c>
      <c r="B422" s="14"/>
      <c r="C422" s="14" t="s">
        <v>181</v>
      </c>
      <c r="D422" s="14" t="s">
        <v>182</v>
      </c>
    </row>
    <row r="423" spans="1:4" x14ac:dyDescent="0.2">
      <c r="A423" s="14" t="s">
        <v>223</v>
      </c>
      <c r="B423" s="14"/>
      <c r="C423" s="14" t="s">
        <v>181</v>
      </c>
      <c r="D423" s="14" t="s">
        <v>182</v>
      </c>
    </row>
    <row r="424" spans="1:4" x14ac:dyDescent="0.2">
      <c r="A424" s="14" t="s">
        <v>224</v>
      </c>
      <c r="B424" s="14"/>
      <c r="C424" s="14" t="s">
        <v>181</v>
      </c>
      <c r="D424" s="14" t="s">
        <v>182</v>
      </c>
    </row>
    <row r="425" spans="1:4" x14ac:dyDescent="0.2">
      <c r="A425" s="14" t="s">
        <v>225</v>
      </c>
      <c r="B425" s="14"/>
      <c r="C425" s="14" t="s">
        <v>181</v>
      </c>
      <c r="D425" s="14" t="s">
        <v>182</v>
      </c>
    </row>
    <row r="426" spans="1:4" x14ac:dyDescent="0.2">
      <c r="A426" s="14" t="s">
        <v>226</v>
      </c>
      <c r="B426" s="14"/>
      <c r="C426" s="14" t="s">
        <v>181</v>
      </c>
      <c r="D426" s="14" t="s">
        <v>182</v>
      </c>
    </row>
    <row r="427" spans="1:4" x14ac:dyDescent="0.2">
      <c r="A427" s="14" t="s">
        <v>227</v>
      </c>
      <c r="B427" s="14"/>
      <c r="C427" s="14" t="s">
        <v>181</v>
      </c>
      <c r="D427" s="14" t="s">
        <v>182</v>
      </c>
    </row>
    <row r="428" spans="1:4" x14ac:dyDescent="0.2">
      <c r="A428" s="14" t="s">
        <v>228</v>
      </c>
      <c r="B428" s="14"/>
      <c r="C428" s="14" t="s">
        <v>181</v>
      </c>
      <c r="D428" s="14" t="s">
        <v>182</v>
      </c>
    </row>
    <row r="429" spans="1:4" x14ac:dyDescent="0.2">
      <c r="A429" s="14" t="s">
        <v>229</v>
      </c>
      <c r="B429" s="14"/>
      <c r="C429" s="14" t="s">
        <v>181</v>
      </c>
      <c r="D429" s="14" t="s">
        <v>182</v>
      </c>
    </row>
    <row r="430" spans="1:4" x14ac:dyDescent="0.2">
      <c r="A430" s="14" t="s">
        <v>230</v>
      </c>
      <c r="B430" s="14"/>
      <c r="C430" s="14" t="s">
        <v>181</v>
      </c>
      <c r="D430" s="14" t="s">
        <v>182</v>
      </c>
    </row>
    <row r="431" spans="1:4" x14ac:dyDescent="0.2">
      <c r="A431" s="14" t="s">
        <v>231</v>
      </c>
      <c r="B431" s="14"/>
      <c r="C431" s="14" t="s">
        <v>181</v>
      </c>
      <c r="D431" s="14" t="s">
        <v>182</v>
      </c>
    </row>
    <row r="432" spans="1:4" x14ac:dyDescent="0.2">
      <c r="A432" s="14" t="s">
        <v>232</v>
      </c>
      <c r="B432" s="14"/>
      <c r="C432" s="14" t="s">
        <v>181</v>
      </c>
      <c r="D432" s="14" t="s">
        <v>182</v>
      </c>
    </row>
    <row r="433" spans="1:4" x14ac:dyDescent="0.2">
      <c r="A433" s="14" t="s">
        <v>233</v>
      </c>
      <c r="B433" s="14"/>
      <c r="C433" s="14" t="s">
        <v>181</v>
      </c>
      <c r="D433" s="14" t="s">
        <v>182</v>
      </c>
    </row>
    <row r="434" spans="1:4" x14ac:dyDescent="0.2">
      <c r="A434" s="14" t="s">
        <v>234</v>
      </c>
      <c r="B434" s="14"/>
      <c r="C434" s="14" t="s">
        <v>181</v>
      </c>
      <c r="D434" s="14" t="s">
        <v>182</v>
      </c>
    </row>
    <row r="435" spans="1:4" x14ac:dyDescent="0.2">
      <c r="A435" s="14" t="s">
        <v>235</v>
      </c>
      <c r="B435" s="14"/>
      <c r="C435" s="14" t="s">
        <v>181</v>
      </c>
      <c r="D435" s="14" t="s">
        <v>182</v>
      </c>
    </row>
    <row r="436" spans="1:4" x14ac:dyDescent="0.2">
      <c r="A436" s="14" t="s">
        <v>236</v>
      </c>
      <c r="B436" s="14"/>
      <c r="C436" s="14" t="s">
        <v>181</v>
      </c>
      <c r="D436" s="14" t="s">
        <v>182</v>
      </c>
    </row>
    <row r="437" spans="1:4" x14ac:dyDescent="0.2">
      <c r="A437" s="14" t="s">
        <v>237</v>
      </c>
      <c r="B437" s="14"/>
      <c r="C437" s="14" t="s">
        <v>181</v>
      </c>
      <c r="D437" s="14" t="s">
        <v>182</v>
      </c>
    </row>
    <row r="438" spans="1:4" x14ac:dyDescent="0.2">
      <c r="A438" s="14" t="s">
        <v>238</v>
      </c>
      <c r="B438" s="14"/>
      <c r="C438" s="14" t="s">
        <v>181</v>
      </c>
      <c r="D438" s="14" t="s">
        <v>182</v>
      </c>
    </row>
    <row r="439" spans="1:4" x14ac:dyDescent="0.2">
      <c r="A439" s="14" t="s">
        <v>239</v>
      </c>
      <c r="B439" s="14"/>
      <c r="C439" s="14" t="s">
        <v>181</v>
      </c>
      <c r="D439" s="14" t="s">
        <v>182</v>
      </c>
    </row>
    <row r="440" spans="1:4" x14ac:dyDescent="0.2">
      <c r="A440" s="14" t="s">
        <v>240</v>
      </c>
      <c r="B440" s="14"/>
      <c r="C440" s="14" t="s">
        <v>181</v>
      </c>
      <c r="D440" s="14" t="s">
        <v>182</v>
      </c>
    </row>
    <row r="441" spans="1:4" x14ac:dyDescent="0.2">
      <c r="A441" s="14" t="s">
        <v>241</v>
      </c>
      <c r="B441" s="14"/>
      <c r="C441" s="14" t="s">
        <v>181</v>
      </c>
      <c r="D441" s="14" t="s">
        <v>182</v>
      </c>
    </row>
    <row r="442" spans="1:4" x14ac:dyDescent="0.2">
      <c r="A442" s="14" t="s">
        <v>241</v>
      </c>
      <c r="B442" s="14"/>
      <c r="C442" s="14" t="s">
        <v>181</v>
      </c>
      <c r="D442" s="14" t="s">
        <v>182</v>
      </c>
    </row>
    <row r="443" spans="1:4" x14ac:dyDescent="0.2">
      <c r="A443" s="14" t="s">
        <v>242</v>
      </c>
      <c r="B443" s="14"/>
      <c r="C443" s="14" t="s">
        <v>181</v>
      </c>
      <c r="D443" s="14" t="s">
        <v>182</v>
      </c>
    </row>
    <row r="444" spans="1:4" x14ac:dyDescent="0.2">
      <c r="A444" s="14" t="s">
        <v>243</v>
      </c>
      <c r="B444" s="14"/>
      <c r="C444" s="14" t="s">
        <v>181</v>
      </c>
      <c r="D444" s="14" t="s">
        <v>182</v>
      </c>
    </row>
    <row r="445" spans="1:4" x14ac:dyDescent="0.2">
      <c r="A445" s="14" t="s">
        <v>244</v>
      </c>
      <c r="B445" s="14"/>
      <c r="C445" s="14" t="s">
        <v>181</v>
      </c>
      <c r="D445" s="14" t="s">
        <v>182</v>
      </c>
    </row>
    <row r="446" spans="1:4" x14ac:dyDescent="0.2">
      <c r="A446" s="14" t="s">
        <v>245</v>
      </c>
      <c r="B446" s="14"/>
      <c r="C446" s="14" t="s">
        <v>181</v>
      </c>
      <c r="D446" s="14" t="s">
        <v>182</v>
      </c>
    </row>
    <row r="447" spans="1:4" x14ac:dyDescent="0.2">
      <c r="A447" s="14" t="s">
        <v>246</v>
      </c>
      <c r="B447" s="14"/>
      <c r="C447" s="14" t="s">
        <v>181</v>
      </c>
      <c r="D447" s="14" t="s">
        <v>182</v>
      </c>
    </row>
    <row r="448" spans="1:4" x14ac:dyDescent="0.2">
      <c r="A448" s="14" t="s">
        <v>247</v>
      </c>
      <c r="B448" s="14"/>
      <c r="C448" s="14" t="s">
        <v>181</v>
      </c>
      <c r="D448" s="14" t="s">
        <v>182</v>
      </c>
    </row>
    <row r="449" spans="1:4" x14ac:dyDescent="0.2">
      <c r="A449" s="14" t="s">
        <v>248</v>
      </c>
      <c r="B449" s="14"/>
      <c r="C449" s="14" t="s">
        <v>181</v>
      </c>
      <c r="D449" s="14" t="s">
        <v>182</v>
      </c>
    </row>
    <row r="450" spans="1:4" x14ac:dyDescent="0.2">
      <c r="A450" s="14" t="s">
        <v>249</v>
      </c>
      <c r="B450" s="14"/>
      <c r="C450" s="14" t="s">
        <v>181</v>
      </c>
      <c r="D450" s="14" t="s">
        <v>182</v>
      </c>
    </row>
    <row r="451" spans="1:4" x14ac:dyDescent="0.2">
      <c r="A451" s="14" t="s">
        <v>250</v>
      </c>
      <c r="B451" s="14"/>
      <c r="C451" s="14" t="s">
        <v>181</v>
      </c>
      <c r="D451" s="14" t="s">
        <v>182</v>
      </c>
    </row>
    <row r="452" spans="1:4" x14ac:dyDescent="0.2">
      <c r="A452" s="14" t="s">
        <v>251</v>
      </c>
      <c r="B452" s="14"/>
      <c r="C452" s="14" t="s">
        <v>181</v>
      </c>
      <c r="D452" s="14" t="s">
        <v>182</v>
      </c>
    </row>
    <row r="453" spans="1:4" x14ac:dyDescent="0.2">
      <c r="A453" s="14" t="s">
        <v>252</v>
      </c>
      <c r="B453" s="14"/>
      <c r="C453" s="14" t="s">
        <v>181</v>
      </c>
      <c r="D453" s="14" t="s">
        <v>182</v>
      </c>
    </row>
    <row r="454" spans="1:4" x14ac:dyDescent="0.2">
      <c r="A454" s="14" t="s">
        <v>253</v>
      </c>
      <c r="B454" s="14"/>
      <c r="C454" s="14" t="s">
        <v>181</v>
      </c>
      <c r="D454" s="14" t="s">
        <v>182</v>
      </c>
    </row>
    <row r="455" spans="1:4" x14ac:dyDescent="0.2">
      <c r="A455" s="14" t="s">
        <v>254</v>
      </c>
      <c r="B455" s="14"/>
      <c r="C455" s="14" t="s">
        <v>181</v>
      </c>
      <c r="D455" s="14" t="s">
        <v>182</v>
      </c>
    </row>
    <row r="456" spans="1:4" x14ac:dyDescent="0.2">
      <c r="A456" s="14" t="s">
        <v>255</v>
      </c>
      <c r="B456" s="14"/>
      <c r="C456" s="14" t="s">
        <v>181</v>
      </c>
      <c r="D456" s="14" t="s">
        <v>182</v>
      </c>
    </row>
    <row r="457" spans="1:4" x14ac:dyDescent="0.2">
      <c r="A457" s="14" t="s">
        <v>256</v>
      </c>
      <c r="B457" s="14"/>
      <c r="C457" s="14" t="s">
        <v>181</v>
      </c>
      <c r="D457" s="14" t="s">
        <v>182</v>
      </c>
    </row>
    <row r="458" spans="1:4" x14ac:dyDescent="0.2">
      <c r="A458" s="14" t="s">
        <v>257</v>
      </c>
      <c r="B458" s="14"/>
      <c r="C458" s="14" t="s">
        <v>181</v>
      </c>
      <c r="D458" s="14" t="s">
        <v>182</v>
      </c>
    </row>
    <row r="459" spans="1:4" x14ac:dyDescent="0.2">
      <c r="A459" s="14" t="s">
        <v>258</v>
      </c>
      <c r="B459" s="14"/>
      <c r="C459" s="14" t="s">
        <v>181</v>
      </c>
      <c r="D459" s="14" t="s">
        <v>182</v>
      </c>
    </row>
    <row r="460" spans="1:4" x14ac:dyDescent="0.2">
      <c r="A460" s="14" t="s">
        <v>258</v>
      </c>
      <c r="B460" s="14"/>
      <c r="C460" s="14" t="s">
        <v>181</v>
      </c>
      <c r="D460" s="14" t="s">
        <v>182</v>
      </c>
    </row>
    <row r="461" spans="1:4" x14ac:dyDescent="0.2">
      <c r="A461" s="14" t="s">
        <v>259</v>
      </c>
      <c r="B461" s="14"/>
      <c r="C461" s="14" t="s">
        <v>181</v>
      </c>
      <c r="D461" s="14" t="s">
        <v>182</v>
      </c>
    </row>
    <row r="462" spans="1:4" x14ac:dyDescent="0.2">
      <c r="A462" s="14" t="s">
        <v>260</v>
      </c>
      <c r="B462" s="14"/>
      <c r="C462" s="14" t="s">
        <v>181</v>
      </c>
      <c r="D462" s="14" t="s">
        <v>182</v>
      </c>
    </row>
    <row r="463" spans="1:4" x14ac:dyDescent="0.2">
      <c r="A463" s="14" t="s">
        <v>261</v>
      </c>
      <c r="B463" s="14"/>
      <c r="C463" s="14" t="s">
        <v>181</v>
      </c>
      <c r="D463" s="14" t="s">
        <v>182</v>
      </c>
    </row>
    <row r="464" spans="1:4" x14ac:dyDescent="0.2">
      <c r="A464" s="14" t="s">
        <v>262</v>
      </c>
      <c r="B464" s="14"/>
      <c r="C464" s="14" t="s">
        <v>181</v>
      </c>
      <c r="D464" s="14" t="s">
        <v>182</v>
      </c>
    </row>
    <row r="465" spans="1:4" x14ac:dyDescent="0.2">
      <c r="A465" s="14" t="s">
        <v>263</v>
      </c>
      <c r="B465" s="14"/>
      <c r="C465" s="14" t="s">
        <v>181</v>
      </c>
      <c r="D465" s="14" t="s">
        <v>182</v>
      </c>
    </row>
    <row r="466" spans="1:4" x14ac:dyDescent="0.2">
      <c r="A466" s="14" t="s">
        <v>264</v>
      </c>
      <c r="B466" s="14"/>
      <c r="C466" s="14" t="s">
        <v>181</v>
      </c>
      <c r="D466" s="14" t="s">
        <v>182</v>
      </c>
    </row>
    <row r="467" spans="1:4" x14ac:dyDescent="0.2">
      <c r="A467" s="14" t="s">
        <v>265</v>
      </c>
      <c r="B467" s="14"/>
      <c r="C467" s="14" t="s">
        <v>181</v>
      </c>
      <c r="D467" s="14" t="s">
        <v>182</v>
      </c>
    </row>
    <row r="468" spans="1:4" x14ac:dyDescent="0.2">
      <c r="A468" s="14" t="s">
        <v>266</v>
      </c>
      <c r="B468" s="14"/>
      <c r="C468" s="14" t="s">
        <v>181</v>
      </c>
      <c r="D468" s="14" t="s">
        <v>182</v>
      </c>
    </row>
    <row r="469" spans="1:4" x14ac:dyDescent="0.2">
      <c r="A469" s="14" t="s">
        <v>267</v>
      </c>
      <c r="B469" s="14"/>
      <c r="C469" s="14" t="s">
        <v>181</v>
      </c>
      <c r="D469" s="14" t="s">
        <v>182</v>
      </c>
    </row>
    <row r="470" spans="1:4" x14ac:dyDescent="0.2">
      <c r="A470" s="14" t="s">
        <v>268</v>
      </c>
      <c r="B470" s="14"/>
      <c r="C470" s="14" t="s">
        <v>181</v>
      </c>
      <c r="D470" s="14" t="s">
        <v>182</v>
      </c>
    </row>
    <row r="471" spans="1:4" x14ac:dyDescent="0.2">
      <c r="A471" s="14" t="s">
        <v>269</v>
      </c>
      <c r="B471" s="14"/>
      <c r="C471" s="14" t="s">
        <v>181</v>
      </c>
      <c r="D471" s="14" t="s">
        <v>182</v>
      </c>
    </row>
    <row r="472" spans="1:4" x14ac:dyDescent="0.2">
      <c r="A472" s="14" t="s">
        <v>149</v>
      </c>
      <c r="B472" s="14"/>
      <c r="C472" s="14" t="s">
        <v>181</v>
      </c>
      <c r="D472" s="14">
        <v>770</v>
      </c>
    </row>
    <row r="473" spans="1:4" x14ac:dyDescent="0.2">
      <c r="A473" s="14" t="s">
        <v>174</v>
      </c>
      <c r="B473" s="14"/>
      <c r="C473" s="14" t="s">
        <v>181</v>
      </c>
      <c r="D473" s="14" t="s">
        <v>183</v>
      </c>
    </row>
  </sheetData>
  <pageMargins left="0.7" right="0.7" top="0.78740157499999996" bottom="0.78740157499999996" header="0.3" footer="0.3"/>
  <pageSetup paperSize="9" orientation="portrait" r:id="rId1"/>
  <headerFooter>
    <oddFooter>&amp;LIntern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AT474"/>
  <sheetViews>
    <sheetView topLeftCell="A99" workbookViewId="0">
      <selection activeCell="B116" sqref="B116"/>
    </sheetView>
  </sheetViews>
  <sheetFormatPr baseColWidth="10" defaultColWidth="11" defaultRowHeight="14.25" x14ac:dyDescent="0.2"/>
  <cols>
    <col min="1" max="1" width="13" bestFit="1" customWidth="1"/>
    <col min="2" max="2" width="17.625" customWidth="1"/>
    <col min="3" max="3" width="12.25" bestFit="1" customWidth="1"/>
    <col min="5" max="5" width="12.25" bestFit="1" customWidth="1"/>
    <col min="10" max="10" width="13.75" bestFit="1" customWidth="1"/>
    <col min="13" max="13" width="12.75" customWidth="1"/>
    <col min="16" max="16" width="11.25" bestFit="1" customWidth="1"/>
    <col min="18" max="18" width="7.75" bestFit="1" customWidth="1"/>
    <col min="19" max="19" width="12.625" bestFit="1" customWidth="1"/>
    <col min="20" max="20" width="23.25" customWidth="1"/>
    <col min="24" max="25" width="7.625" customWidth="1"/>
    <col min="26" max="26" width="9.25" customWidth="1"/>
    <col min="27" max="38" width="7.625" customWidth="1"/>
    <col min="40" max="40" width="5.125" customWidth="1"/>
    <col min="41" max="41" width="21.75" customWidth="1"/>
    <col min="42" max="42" width="20.625" customWidth="1"/>
    <col min="43" max="45" width="16.625" bestFit="1" customWidth="1"/>
    <col min="46" max="46" width="18.5" customWidth="1"/>
  </cols>
  <sheetData>
    <row r="1" spans="1:46" ht="15.75" thickBot="1" x14ac:dyDescent="0.3">
      <c r="E1" s="845" t="s">
        <v>379</v>
      </c>
      <c r="F1" s="846"/>
      <c r="G1" s="846"/>
      <c r="H1" s="846"/>
      <c r="I1" s="846"/>
      <c r="J1" s="846"/>
      <c r="K1" s="847"/>
      <c r="M1" s="848" t="s">
        <v>380</v>
      </c>
      <c r="N1" s="849"/>
      <c r="O1" s="849"/>
      <c r="P1" s="849"/>
      <c r="Q1" s="849"/>
      <c r="R1" s="849"/>
      <c r="S1" s="849"/>
      <c r="T1" s="849"/>
      <c r="U1" s="850"/>
      <c r="W1" s="94"/>
      <c r="X1" s="347" t="s">
        <v>539</v>
      </c>
      <c r="Y1" s="863" t="s">
        <v>41</v>
      </c>
      <c r="Z1" s="863"/>
      <c r="AA1" s="863"/>
      <c r="AB1" s="863"/>
      <c r="AC1" s="863"/>
      <c r="AD1" s="863"/>
      <c r="AE1" s="863"/>
      <c r="AF1" s="863"/>
      <c r="AG1" s="863"/>
      <c r="AH1" s="863"/>
      <c r="AI1" s="863"/>
      <c r="AJ1" s="863"/>
      <c r="AK1" s="863"/>
      <c r="AL1" s="864"/>
      <c r="AN1" s="857" t="s">
        <v>550</v>
      </c>
      <c r="AO1" s="858"/>
      <c r="AP1" s="858"/>
      <c r="AQ1" s="858"/>
      <c r="AR1" s="858"/>
      <c r="AS1" s="858"/>
      <c r="AT1" s="859"/>
    </row>
    <row r="2" spans="1:46" x14ac:dyDescent="0.2">
      <c r="A2" t="s">
        <v>352</v>
      </c>
      <c r="B2" s="30" t="str">
        <f>'DB GIF'!C5</f>
        <v>CTG/CTA</v>
      </c>
      <c r="C2" s="23" t="s">
        <v>969</v>
      </c>
      <c r="D2" s="23" t="s">
        <v>1096</v>
      </c>
      <c r="E2" s="23" t="s">
        <v>1097</v>
      </c>
      <c r="F2" s="23" t="s">
        <v>59</v>
      </c>
      <c r="G2" s="23" t="s">
        <v>1098</v>
      </c>
      <c r="H2" s="23" t="s">
        <v>274</v>
      </c>
      <c r="I2" s="11" t="s">
        <v>111</v>
      </c>
      <c r="J2" s="11" t="s">
        <v>275</v>
      </c>
      <c r="K2" s="11" t="s">
        <v>148</v>
      </c>
      <c r="M2" s="54" t="s">
        <v>352</v>
      </c>
      <c r="N2" s="30" t="str">
        <f>'DB GIF'!C73</f>
        <v>IEC</v>
      </c>
      <c r="O2" s="68" t="s">
        <v>324</v>
      </c>
      <c r="P2" s="61" t="s">
        <v>354</v>
      </c>
      <c r="Q2" s="61" t="s">
        <v>364</v>
      </c>
      <c r="R2" s="9" t="s">
        <v>388</v>
      </c>
      <c r="S2" s="23" t="s">
        <v>389</v>
      </c>
      <c r="T2" s="23" t="s">
        <v>390</v>
      </c>
      <c r="U2" s="53" t="s">
        <v>398</v>
      </c>
      <c r="W2" s="54"/>
      <c r="X2" s="131">
        <f>'DB GIF'!D23</f>
        <v>420</v>
      </c>
      <c r="Y2" s="170">
        <v>72.5</v>
      </c>
      <c r="Z2" s="18">
        <f>IF(LEFT('DB GIF'!G22,4)="GOST",126,123)</f>
        <v>123</v>
      </c>
      <c r="AA2" s="18">
        <v>145</v>
      </c>
      <c r="AB2" s="18">
        <f>IF(LEFT('DB GIF'!G22,4)="GOST",172,170)</f>
        <v>170</v>
      </c>
      <c r="AC2" s="18">
        <v>232</v>
      </c>
      <c r="AD2" s="18">
        <f>IF(LEFT('DB GIF'!G22,4)="GOST",252,245)</f>
        <v>245</v>
      </c>
      <c r="AE2" s="18">
        <v>300</v>
      </c>
      <c r="AF2" s="18">
        <f>IF(LEFT('DB GIF'!G22,4)="GOST",363,362)</f>
        <v>362</v>
      </c>
      <c r="AG2" s="18">
        <v>420</v>
      </c>
      <c r="AH2" s="18">
        <f>IF(LEFT('DB GIF'!G22,4)="GOST",525,500)</f>
        <v>500</v>
      </c>
      <c r="AI2" s="18">
        <v>550</v>
      </c>
      <c r="AJ2" s="18">
        <f>IF(LEFT('DB GIF'!G22,4)="GOST",787,765)</f>
        <v>765</v>
      </c>
      <c r="AK2" s="18">
        <v>800</v>
      </c>
      <c r="AL2" s="153">
        <v>1000</v>
      </c>
      <c r="AN2" s="54"/>
      <c r="AO2" s="131" t="str">
        <f>'DB GIF'!C5</f>
        <v>CTG/CTA</v>
      </c>
      <c r="AP2" s="178" t="s">
        <v>1096</v>
      </c>
      <c r="AQ2" s="178" t="s">
        <v>969</v>
      </c>
      <c r="AR2" s="178" t="s">
        <v>1097</v>
      </c>
      <c r="AS2" s="178" t="s">
        <v>111</v>
      </c>
      <c r="AT2" s="179" t="s">
        <v>1098</v>
      </c>
    </row>
    <row r="3" spans="1:46" x14ac:dyDescent="0.2">
      <c r="A3" s="9">
        <v>2</v>
      </c>
      <c r="B3" s="9" t="str">
        <f>IF(HLOOKUP($B$2,$C$2:$K$474,A3,0)=0,"",HLOOKUP($B$2,$C$2:$K$474,A3,0))</f>
        <v>CTA072G05-1</v>
      </c>
      <c r="C3" s="29" t="s">
        <v>1799</v>
      </c>
      <c r="D3" s="29" t="s">
        <v>1433</v>
      </c>
      <c r="E3" s="251" t="s">
        <v>892</v>
      </c>
      <c r="F3" s="29" t="s">
        <v>170</v>
      </c>
      <c r="G3" s="251" t="s">
        <v>1640</v>
      </c>
      <c r="H3" s="29" t="s">
        <v>139</v>
      </c>
      <c r="I3" s="251" t="s">
        <v>509</v>
      </c>
      <c r="J3" s="29">
        <v>116</v>
      </c>
      <c r="K3" s="29" t="s">
        <v>161</v>
      </c>
      <c r="M3" s="88">
        <v>2</v>
      </c>
      <c r="N3" s="89">
        <f>IF(HLOOKUP($N$2,$O$2:$Q$22,M3,0)=0,"",HLOOKUP($N$2,$O$2:$Q$22,M3,0))</f>
        <v>0.1</v>
      </c>
      <c r="O3" s="26">
        <v>0.1</v>
      </c>
      <c r="P3" s="26" t="s">
        <v>330</v>
      </c>
      <c r="Q3" s="26" t="s">
        <v>330</v>
      </c>
      <c r="R3" s="75" t="s">
        <v>366</v>
      </c>
      <c r="S3" s="75" t="str">
        <f>IF($N$2="IEC","Überstromfaktor","-")</f>
        <v>Überstromfaktor</v>
      </c>
      <c r="T3" s="9" t="s">
        <v>4</v>
      </c>
      <c r="U3" s="53" t="s">
        <v>4</v>
      </c>
      <c r="W3" s="54">
        <v>2</v>
      </c>
      <c r="X3" s="89">
        <f>IF(HLOOKUP($X$2,$Y$2:$AL$5,W3,0)=0,"",HLOOKUP($X$2,$Y$2:$AL$5,W3,0))</f>
        <v>1300</v>
      </c>
      <c r="Y3" s="89">
        <v>325</v>
      </c>
      <c r="Z3" s="89">
        <f>IF(AND($X$2=126,AO2="VTG"),480,450)</f>
        <v>450</v>
      </c>
      <c r="AA3" s="89">
        <v>550</v>
      </c>
      <c r="AB3" s="89">
        <v>650</v>
      </c>
      <c r="AC3" s="89">
        <v>950</v>
      </c>
      <c r="AD3" s="89">
        <v>900</v>
      </c>
      <c r="AE3" s="89">
        <v>950</v>
      </c>
      <c r="AF3" s="89">
        <v>1050</v>
      </c>
      <c r="AG3" s="89">
        <v>1300</v>
      </c>
      <c r="AH3" s="89">
        <v>1425</v>
      </c>
      <c r="AI3" s="89">
        <v>1425</v>
      </c>
      <c r="AJ3" s="89">
        <v>1950</v>
      </c>
      <c r="AK3" s="89">
        <v>1950</v>
      </c>
      <c r="AL3" s="152">
        <v>2100</v>
      </c>
      <c r="AN3" s="166">
        <v>2</v>
      </c>
      <c r="AO3" s="167">
        <f>IF(HLOOKUP($AO$2,$AP$2:$AT$9,AN3,0)=0,"",HLOOKUP($AO$2,$AP$2:$AT$9,AN3,0))</f>
        <v>1250</v>
      </c>
      <c r="AP3" s="167" t="s">
        <v>620</v>
      </c>
      <c r="AQ3" s="167">
        <v>1250</v>
      </c>
      <c r="AR3" s="167">
        <v>1250</v>
      </c>
      <c r="AS3" s="167">
        <v>500</v>
      </c>
      <c r="AT3" s="167" t="s">
        <v>620</v>
      </c>
    </row>
    <row r="4" spans="1:46" x14ac:dyDescent="0.2">
      <c r="A4" s="9">
        <v>3</v>
      </c>
      <c r="B4" s="9" t="str">
        <f t="shared" ref="B4:B67" si="0">IF(HLOOKUP($B$2,$C$2:$K$474,A4,0)=0,"",HLOOKUP($B$2,$C$2:$K$474,A4,0))</f>
        <v>CTG072G05-1</v>
      </c>
      <c r="C4" s="29" t="s">
        <v>1775</v>
      </c>
      <c r="D4" s="29" t="s">
        <v>1431</v>
      </c>
      <c r="E4" s="251" t="s">
        <v>893</v>
      </c>
      <c r="F4" s="29" t="s">
        <v>58</v>
      </c>
      <c r="G4" s="251" t="s">
        <v>922</v>
      </c>
      <c r="H4" s="29" t="s">
        <v>140</v>
      </c>
      <c r="I4" s="251" t="s">
        <v>1409</v>
      </c>
      <c r="J4" s="29">
        <v>150</v>
      </c>
      <c r="K4" s="29" t="s">
        <v>147</v>
      </c>
      <c r="M4" s="88">
        <v>3</v>
      </c>
      <c r="N4" s="89">
        <f t="shared" ref="N4:N19" si="1">IF(HLOOKUP($N$2,$O$2:$Q$22,M4,0)=0,"",HLOOKUP($N$2,$O$2:$Q$22,M4,0))</f>
        <v>0.2</v>
      </c>
      <c r="O4" s="26">
        <v>0.2</v>
      </c>
      <c r="P4" s="26" t="s">
        <v>332</v>
      </c>
      <c r="Q4" s="26" t="s">
        <v>332</v>
      </c>
      <c r="R4" s="75" t="s">
        <v>366</v>
      </c>
      <c r="S4" s="75" t="str">
        <f t="shared" ref="S4:S10" si="2">IF($N$2="IEC","Überstromfaktor","-")</f>
        <v>Überstromfaktor</v>
      </c>
      <c r="T4" s="9" t="s">
        <v>4</v>
      </c>
      <c r="U4" s="53" t="s">
        <v>4</v>
      </c>
      <c r="W4" s="54">
        <v>3</v>
      </c>
      <c r="X4" s="89">
        <f>IF(HLOOKUP($X$2,$Y$2:$AL$5,W4,0)=0,"",HLOOKUP($X$2,$Y$2:$AL$5,W4,0))</f>
        <v>1425</v>
      </c>
      <c r="Y4" s="42">
        <v>350</v>
      </c>
      <c r="Z4" s="89">
        <v>550</v>
      </c>
      <c r="AA4" s="89">
        <v>650</v>
      </c>
      <c r="AB4" s="89">
        <v>750</v>
      </c>
      <c r="AC4" s="89">
        <v>1050</v>
      </c>
      <c r="AD4" s="89">
        <v>950</v>
      </c>
      <c r="AE4" s="89">
        <v>1050</v>
      </c>
      <c r="AF4" s="89">
        <v>1175</v>
      </c>
      <c r="AG4" s="89">
        <v>1425</v>
      </c>
      <c r="AH4" s="89">
        <v>1550</v>
      </c>
      <c r="AI4" s="89">
        <v>1550</v>
      </c>
      <c r="AJ4" s="89">
        <v>2100</v>
      </c>
      <c r="AK4" s="89">
        <v>2100</v>
      </c>
      <c r="AL4" s="152">
        <v>2400</v>
      </c>
      <c r="AN4" s="166">
        <v>3</v>
      </c>
      <c r="AO4" s="167">
        <f t="shared" ref="AO4:AO7" si="3">IF(HLOOKUP($AO$2,$AP$2:$AT$9,AN4,0)=0,"",HLOOKUP($AO$2,$AP$2:$AT$9,AN4,0))</f>
        <v>2000</v>
      </c>
      <c r="AP4" s="167" t="s">
        <v>621</v>
      </c>
      <c r="AQ4" s="167">
        <v>2000</v>
      </c>
      <c r="AR4" s="167">
        <v>2000</v>
      </c>
      <c r="AS4" s="167">
        <v>1000</v>
      </c>
      <c r="AT4" s="167" t="s">
        <v>621</v>
      </c>
    </row>
    <row r="5" spans="1:46" x14ac:dyDescent="0.2">
      <c r="A5" s="9">
        <v>4</v>
      </c>
      <c r="B5" s="9" t="str">
        <f t="shared" si="0"/>
        <v>CTG123G05-1</v>
      </c>
      <c r="C5" s="29" t="s">
        <v>1777</v>
      </c>
      <c r="D5" s="29" t="s">
        <v>1434</v>
      </c>
      <c r="E5" s="251" t="s">
        <v>67</v>
      </c>
      <c r="F5" s="29" t="s">
        <v>65</v>
      </c>
      <c r="G5" s="251" t="s">
        <v>950</v>
      </c>
      <c r="H5" s="29" t="s">
        <v>141</v>
      </c>
      <c r="I5" s="251" t="s">
        <v>818</v>
      </c>
      <c r="J5" s="29">
        <v>2297443</v>
      </c>
      <c r="K5" s="29" t="s">
        <v>174</v>
      </c>
      <c r="M5" s="88">
        <v>4</v>
      </c>
      <c r="N5" s="89" t="str">
        <f t="shared" si="1"/>
        <v>0,2S</v>
      </c>
      <c r="O5" s="26" t="s">
        <v>321</v>
      </c>
      <c r="P5" s="26" t="s">
        <v>334</v>
      </c>
      <c r="Q5" s="26" t="s">
        <v>334</v>
      </c>
      <c r="R5" s="75" t="s">
        <v>366</v>
      </c>
      <c r="S5" s="75" t="str">
        <f t="shared" si="2"/>
        <v>Überstromfaktor</v>
      </c>
      <c r="T5" s="9" t="s">
        <v>4</v>
      </c>
      <c r="U5" s="53" t="s">
        <v>4</v>
      </c>
      <c r="W5" s="54">
        <v>4</v>
      </c>
      <c r="X5" s="89" t="str">
        <f>IF(HLOOKUP($X$2,$Y$2:$AL$5,W5,0)=0,"",HLOOKUP($X$2,$Y$2:$AL$5,W5,0))</f>
        <v>-</v>
      </c>
      <c r="Y5" s="42" t="s">
        <v>4</v>
      </c>
      <c r="Z5" s="60" t="s">
        <v>4</v>
      </c>
      <c r="AA5" s="42" t="s">
        <v>4</v>
      </c>
      <c r="AB5" s="42" t="s">
        <v>4</v>
      </c>
      <c r="AC5" s="42" t="s">
        <v>4</v>
      </c>
      <c r="AD5" s="89">
        <v>1050</v>
      </c>
      <c r="AE5" s="42" t="s">
        <v>4</v>
      </c>
      <c r="AF5" s="89">
        <v>1300</v>
      </c>
      <c r="AG5" s="42" t="s">
        <v>4</v>
      </c>
      <c r="AH5" s="89">
        <v>1800</v>
      </c>
      <c r="AI5" s="89">
        <v>1800</v>
      </c>
      <c r="AJ5" s="42" t="s">
        <v>4</v>
      </c>
      <c r="AK5" s="42" t="s">
        <v>4</v>
      </c>
      <c r="AL5" s="134" t="s">
        <v>4</v>
      </c>
      <c r="AN5" s="166">
        <v>4</v>
      </c>
      <c r="AO5" s="167">
        <f t="shared" si="3"/>
        <v>2500</v>
      </c>
      <c r="AP5" s="167" t="s">
        <v>622</v>
      </c>
      <c r="AQ5" s="167">
        <v>2500</v>
      </c>
      <c r="AR5" s="167">
        <v>2500</v>
      </c>
      <c r="AS5" s="167">
        <v>1250</v>
      </c>
      <c r="AT5" s="167" t="s">
        <v>622</v>
      </c>
    </row>
    <row r="6" spans="1:46" ht="15" thickBot="1" x14ac:dyDescent="0.25">
      <c r="A6" s="9">
        <v>5</v>
      </c>
      <c r="B6" s="9" t="str">
        <f t="shared" si="0"/>
        <v>CTG123-010-0175</v>
      </c>
      <c r="C6" s="29" t="s">
        <v>62</v>
      </c>
      <c r="D6" s="29" t="s">
        <v>1435</v>
      </c>
      <c r="E6" s="251" t="s">
        <v>894</v>
      </c>
      <c r="F6" s="29" t="s">
        <v>64</v>
      </c>
      <c r="G6" s="251" t="s">
        <v>951</v>
      </c>
      <c r="H6" s="29" t="s">
        <v>142</v>
      </c>
      <c r="I6" s="251" t="s">
        <v>110</v>
      </c>
      <c r="J6" s="29">
        <v>20021501</v>
      </c>
      <c r="K6" s="29" t="s">
        <v>158</v>
      </c>
      <c r="M6" s="88">
        <v>5</v>
      </c>
      <c r="N6" s="89">
        <f t="shared" si="1"/>
        <v>0.5</v>
      </c>
      <c r="O6" s="26">
        <v>0.5</v>
      </c>
      <c r="P6" s="26" t="s">
        <v>336</v>
      </c>
      <c r="Q6" s="26" t="s">
        <v>336</v>
      </c>
      <c r="R6" s="75" t="s">
        <v>366</v>
      </c>
      <c r="S6" s="75" t="str">
        <f t="shared" si="2"/>
        <v>Überstromfaktor</v>
      </c>
      <c r="T6" s="9" t="s">
        <v>4</v>
      </c>
      <c r="U6" s="53" t="s">
        <v>4</v>
      </c>
      <c r="W6" s="55">
        <v>5</v>
      </c>
      <c r="X6" s="151" t="e">
        <f>IF(HLOOKUP($X$2,$Y$2:$AL$5,W6,0)=0,"",HLOOKUP($X$2,$Y$2:$AL$5,W6,0))</f>
        <v>#REF!</v>
      </c>
      <c r="Y6" s="59" t="s">
        <v>4</v>
      </c>
      <c r="Z6" s="183" t="s">
        <v>4</v>
      </c>
      <c r="AA6" s="59" t="s">
        <v>4</v>
      </c>
      <c r="AB6" s="59" t="s">
        <v>4</v>
      </c>
      <c r="AC6" s="59" t="s">
        <v>4</v>
      </c>
      <c r="AD6" s="59" t="s">
        <v>4</v>
      </c>
      <c r="AE6" s="59" t="s">
        <v>4</v>
      </c>
      <c r="AF6" s="59" t="s">
        <v>4</v>
      </c>
      <c r="AG6" s="59" t="s">
        <v>4</v>
      </c>
      <c r="AH6" s="59" t="s">
        <v>4</v>
      </c>
      <c r="AI6" s="59" t="s">
        <v>4</v>
      </c>
      <c r="AJ6" s="59" t="s">
        <v>4</v>
      </c>
      <c r="AK6" s="59" t="s">
        <v>4</v>
      </c>
      <c r="AL6" s="135" t="s">
        <v>4</v>
      </c>
      <c r="AN6" s="88">
        <v>5</v>
      </c>
      <c r="AO6" s="167">
        <f t="shared" si="3"/>
        <v>3000</v>
      </c>
      <c r="AP6" s="167" t="s">
        <v>623</v>
      </c>
      <c r="AQ6" s="167">
        <v>3000</v>
      </c>
      <c r="AR6" s="167">
        <v>3000</v>
      </c>
      <c r="AS6" s="167">
        <v>1500</v>
      </c>
      <c r="AT6" s="167" t="s">
        <v>623</v>
      </c>
    </row>
    <row r="7" spans="1:46" x14ac:dyDescent="0.2">
      <c r="A7" s="9">
        <v>6</v>
      </c>
      <c r="B7" s="9" t="str">
        <f t="shared" si="0"/>
        <v>CTG123-020-0250</v>
      </c>
      <c r="C7" s="29" t="s">
        <v>63</v>
      </c>
      <c r="D7" s="29" t="s">
        <v>886</v>
      </c>
      <c r="E7" s="251" t="s">
        <v>895</v>
      </c>
      <c r="F7" s="29" t="s">
        <v>72</v>
      </c>
      <c r="G7" s="251" t="s">
        <v>923</v>
      </c>
      <c r="H7" s="29" t="s">
        <v>143</v>
      </c>
      <c r="I7" s="24"/>
      <c r="J7" s="29">
        <v>20021502</v>
      </c>
      <c r="K7" s="29" t="s">
        <v>159</v>
      </c>
      <c r="M7" s="88">
        <v>6</v>
      </c>
      <c r="N7" s="89" t="str">
        <f t="shared" si="1"/>
        <v>0,5S</v>
      </c>
      <c r="O7" s="26" t="s">
        <v>313</v>
      </c>
      <c r="P7" s="26" t="s">
        <v>338</v>
      </c>
      <c r="Q7" s="26" t="s">
        <v>338</v>
      </c>
      <c r="R7" s="75" t="s">
        <v>366</v>
      </c>
      <c r="S7" s="75" t="str">
        <f t="shared" si="2"/>
        <v>Überstromfaktor</v>
      </c>
      <c r="T7" s="9" t="s">
        <v>4</v>
      </c>
      <c r="U7" s="53" t="s">
        <v>4</v>
      </c>
      <c r="W7" s="94"/>
      <c r="X7" s="347" t="s">
        <v>539</v>
      </c>
      <c r="Y7" s="863" t="s">
        <v>43</v>
      </c>
      <c r="Z7" s="863"/>
      <c r="AA7" s="863"/>
      <c r="AB7" s="863"/>
      <c r="AC7" s="863"/>
      <c r="AD7" s="863"/>
      <c r="AE7" s="863"/>
      <c r="AF7" s="863"/>
      <c r="AG7" s="863"/>
      <c r="AH7" s="863"/>
      <c r="AI7" s="863"/>
      <c r="AJ7" s="863"/>
      <c r="AK7" s="863"/>
      <c r="AL7" s="864"/>
      <c r="AN7" s="166">
        <v>6</v>
      </c>
      <c r="AO7" s="167">
        <f t="shared" si="3"/>
        <v>4000</v>
      </c>
      <c r="AP7" s="167" t="s">
        <v>624</v>
      </c>
      <c r="AQ7" s="167">
        <v>4000</v>
      </c>
      <c r="AR7" s="167">
        <v>4000</v>
      </c>
      <c r="AS7" s="168"/>
      <c r="AT7" s="167" t="s">
        <v>624</v>
      </c>
    </row>
    <row r="8" spans="1:46" x14ac:dyDescent="0.2">
      <c r="A8" s="9">
        <v>7</v>
      </c>
      <c r="B8" s="9" t="str">
        <f t="shared" si="0"/>
        <v>CTG145G05-1</v>
      </c>
      <c r="C8" s="29" t="s">
        <v>1778</v>
      </c>
      <c r="D8" s="29" t="s">
        <v>887</v>
      </c>
      <c r="E8" s="251" t="s">
        <v>896</v>
      </c>
      <c r="F8" s="29" t="s">
        <v>166</v>
      </c>
      <c r="G8" s="251" t="s">
        <v>1608</v>
      </c>
      <c r="H8" s="29" t="s">
        <v>144</v>
      </c>
      <c r="I8" s="24"/>
      <c r="J8" s="29">
        <v>20021503</v>
      </c>
      <c r="K8" s="29" t="s">
        <v>160</v>
      </c>
      <c r="M8" s="88">
        <v>7</v>
      </c>
      <c r="N8" s="89">
        <f t="shared" si="1"/>
        <v>1</v>
      </c>
      <c r="O8" s="26">
        <v>1</v>
      </c>
      <c r="P8" s="62">
        <v>0</v>
      </c>
      <c r="Q8" s="62">
        <v>0</v>
      </c>
      <c r="R8" s="75" t="s">
        <v>366</v>
      </c>
      <c r="S8" s="75" t="str">
        <f t="shared" si="2"/>
        <v>Überstromfaktor</v>
      </c>
      <c r="T8" s="9" t="s">
        <v>4</v>
      </c>
      <c r="U8" s="53" t="s">
        <v>4</v>
      </c>
      <c r="W8" s="54"/>
      <c r="X8" s="131">
        <f>X2</f>
        <v>420</v>
      </c>
      <c r="Y8" s="170">
        <f>Y2</f>
        <v>72.5</v>
      </c>
      <c r="Z8" s="171">
        <f t="shared" ref="Z8:AK8" si="4">Z2</f>
        <v>123</v>
      </c>
      <c r="AA8" s="171">
        <f t="shared" si="4"/>
        <v>145</v>
      </c>
      <c r="AB8" s="171">
        <f t="shared" si="4"/>
        <v>170</v>
      </c>
      <c r="AC8" s="171">
        <f t="shared" si="4"/>
        <v>232</v>
      </c>
      <c r="AD8" s="171">
        <f t="shared" si="4"/>
        <v>245</v>
      </c>
      <c r="AE8" s="171">
        <f t="shared" si="4"/>
        <v>300</v>
      </c>
      <c r="AF8" s="171">
        <f t="shared" si="4"/>
        <v>362</v>
      </c>
      <c r="AG8" s="171">
        <f t="shared" si="4"/>
        <v>420</v>
      </c>
      <c r="AH8" s="171">
        <f t="shared" si="4"/>
        <v>500</v>
      </c>
      <c r="AI8" s="171">
        <f t="shared" si="4"/>
        <v>550</v>
      </c>
      <c r="AJ8" s="171">
        <f t="shared" si="4"/>
        <v>765</v>
      </c>
      <c r="AK8" s="171">
        <f t="shared" si="4"/>
        <v>800</v>
      </c>
      <c r="AL8" s="180">
        <f>AL2</f>
        <v>1000</v>
      </c>
      <c r="AN8" s="166">
        <v>7</v>
      </c>
      <c r="AO8" s="167">
        <f t="shared" ref="AO8:AO9" si="5">IF(HLOOKUP($AO$2,$AP$2:$AT$9,AN8,0)=0,"",HLOOKUP($AO$2,$AP$2:$AT$9,AN8,0))</f>
        <v>5000</v>
      </c>
      <c r="AP8" s="167" t="s">
        <v>625</v>
      </c>
      <c r="AQ8" s="167">
        <v>5000</v>
      </c>
      <c r="AR8" s="167">
        <v>5000</v>
      </c>
      <c r="AS8" s="168"/>
      <c r="AT8" s="167" t="s">
        <v>625</v>
      </c>
    </row>
    <row r="9" spans="1:46" x14ac:dyDescent="0.2">
      <c r="A9" s="9">
        <v>8</v>
      </c>
      <c r="B9" s="9" t="str">
        <f t="shared" si="0"/>
        <v>CTG145-010-0175</v>
      </c>
      <c r="C9" s="29" t="s">
        <v>69</v>
      </c>
      <c r="D9" s="29" t="s">
        <v>824</v>
      </c>
      <c r="E9" s="251" t="s">
        <v>897</v>
      </c>
      <c r="F9" s="29" t="s">
        <v>80</v>
      </c>
      <c r="G9" s="251" t="s">
        <v>1609</v>
      </c>
      <c r="H9" s="29" t="s">
        <v>145</v>
      </c>
      <c r="I9" s="24"/>
      <c r="J9" s="29">
        <v>20021504</v>
      </c>
      <c r="K9" s="29"/>
      <c r="M9" s="88">
        <v>8</v>
      </c>
      <c r="N9" s="89">
        <f t="shared" si="1"/>
        <v>3</v>
      </c>
      <c r="O9" s="26">
        <v>3</v>
      </c>
      <c r="P9" s="62">
        <v>0</v>
      </c>
      <c r="Q9" s="62">
        <v>0</v>
      </c>
      <c r="R9" s="75" t="s">
        <v>366</v>
      </c>
      <c r="S9" s="75" t="str">
        <f t="shared" si="2"/>
        <v>Überstromfaktor</v>
      </c>
      <c r="T9" s="9" t="s">
        <v>4</v>
      </c>
      <c r="U9" s="53" t="s">
        <v>4</v>
      </c>
      <c r="W9" s="54">
        <v>2</v>
      </c>
      <c r="X9" s="9">
        <f>IF(HLOOKUP($X$8,$Y$8:$AL$11,W9,0)=0,"",HLOOKUP($X8,$Y$8:$AL$11,W9,0))</f>
        <v>1050</v>
      </c>
      <c r="Y9" s="42" t="s">
        <v>4</v>
      </c>
      <c r="Z9" s="42" t="s">
        <v>4</v>
      </c>
      <c r="AA9" s="42" t="s">
        <v>4</v>
      </c>
      <c r="AB9" s="42" t="s">
        <v>4</v>
      </c>
      <c r="AC9" s="42" t="s">
        <v>4</v>
      </c>
      <c r="AD9" s="42" t="s">
        <v>4</v>
      </c>
      <c r="AE9">
        <v>750</v>
      </c>
      <c r="AF9">
        <v>850</v>
      </c>
      <c r="AG9">
        <v>1050</v>
      </c>
      <c r="AH9">
        <v>1050</v>
      </c>
      <c r="AI9">
        <v>1050</v>
      </c>
      <c r="AJ9">
        <v>1425</v>
      </c>
      <c r="AK9">
        <v>1425</v>
      </c>
      <c r="AL9" s="50">
        <v>1550</v>
      </c>
      <c r="AN9" s="166">
        <v>8</v>
      </c>
      <c r="AO9" s="167" t="str">
        <f t="shared" si="5"/>
        <v/>
      </c>
      <c r="AP9" s="167">
        <v>500</v>
      </c>
      <c r="AQ9" s="167"/>
      <c r="AR9" s="167"/>
      <c r="AS9" s="167"/>
      <c r="AT9" s="167">
        <v>500</v>
      </c>
    </row>
    <row r="10" spans="1:46" x14ac:dyDescent="0.2">
      <c r="A10" s="9">
        <v>9</v>
      </c>
      <c r="B10" s="9" t="str">
        <f t="shared" si="0"/>
        <v>CTG145-020-0250</v>
      </c>
      <c r="C10" s="29" t="s">
        <v>70</v>
      </c>
      <c r="D10" s="29" t="s">
        <v>1432</v>
      </c>
      <c r="E10" s="251" t="s">
        <v>898</v>
      </c>
      <c r="F10" s="29" t="s">
        <v>81</v>
      </c>
      <c r="G10" s="251" t="s">
        <v>1610</v>
      </c>
      <c r="H10" s="29" t="s">
        <v>146</v>
      </c>
      <c r="I10" s="24"/>
      <c r="J10" s="29">
        <v>20021506</v>
      </c>
      <c r="K10" s="29"/>
      <c r="M10" s="88">
        <v>9</v>
      </c>
      <c r="N10" s="89">
        <f t="shared" si="1"/>
        <v>5</v>
      </c>
      <c r="O10" s="26">
        <v>5</v>
      </c>
      <c r="P10" s="62">
        <v>0</v>
      </c>
      <c r="Q10" s="62">
        <v>0</v>
      </c>
      <c r="R10" s="75" t="s">
        <v>366</v>
      </c>
      <c r="S10" s="75" t="str">
        <f t="shared" si="2"/>
        <v>Überstromfaktor</v>
      </c>
      <c r="T10" s="9" t="s">
        <v>4</v>
      </c>
      <c r="U10" s="53" t="s">
        <v>4</v>
      </c>
      <c r="W10" s="54">
        <v>3</v>
      </c>
      <c r="X10" s="9" t="str">
        <f>IF(HLOOKUP($X$8,$Y$8:$AL$11,W10,0)=0,"",HLOOKUP($X$8,$Y$8:$AL$11,W10,0))</f>
        <v>-</v>
      </c>
      <c r="Y10" s="42" t="s">
        <v>4</v>
      </c>
      <c r="Z10" s="42" t="s">
        <v>4</v>
      </c>
      <c r="AA10" s="42" t="s">
        <v>4</v>
      </c>
      <c r="AB10" s="42" t="s">
        <v>4</v>
      </c>
      <c r="AC10" s="42" t="s">
        <v>4</v>
      </c>
      <c r="AD10" s="42" t="s">
        <v>4</v>
      </c>
      <c r="AE10">
        <v>850</v>
      </c>
      <c r="AF10">
        <v>950</v>
      </c>
      <c r="AG10" s="2" t="s">
        <v>4</v>
      </c>
      <c r="AH10">
        <v>1175</v>
      </c>
      <c r="AI10">
        <v>1175</v>
      </c>
      <c r="AJ10">
        <v>1550</v>
      </c>
      <c r="AK10">
        <v>1550</v>
      </c>
      <c r="AL10" s="50">
        <v>1675</v>
      </c>
      <c r="AN10" s="166">
        <v>9</v>
      </c>
      <c r="AO10" s="167" t="str">
        <f>IF(HLOOKUP($AO$2,$AP$2:$AT$12,AN10,0)=0,"",HLOOKUP($AO$2,$AP$2:$AT$12,AN10,0))</f>
        <v/>
      </c>
      <c r="AP10" s="167">
        <v>1000</v>
      </c>
      <c r="AQ10" s="167"/>
      <c r="AR10" s="167"/>
      <c r="AS10" s="167"/>
      <c r="AT10" s="167">
        <v>1000</v>
      </c>
    </row>
    <row r="11" spans="1:46" x14ac:dyDescent="0.2">
      <c r="A11" s="9">
        <v>10</v>
      </c>
      <c r="B11" s="9" t="str">
        <f t="shared" si="0"/>
        <v>CTG145-040-0300</v>
      </c>
      <c r="C11" s="29" t="s">
        <v>871</v>
      </c>
      <c r="D11" s="29" t="s">
        <v>1436</v>
      </c>
      <c r="E11" s="251" t="s">
        <v>899</v>
      </c>
      <c r="F11" s="29" t="s">
        <v>87</v>
      </c>
      <c r="G11" s="251" t="s">
        <v>1611</v>
      </c>
      <c r="H11" s="29" t="s">
        <v>150</v>
      </c>
      <c r="I11" s="24"/>
      <c r="J11" s="29">
        <v>20037801</v>
      </c>
      <c r="K11" s="29"/>
      <c r="M11" s="88">
        <v>10</v>
      </c>
      <c r="N11" s="89" t="str">
        <f t="shared" si="1"/>
        <v>5P</v>
      </c>
      <c r="O11" s="27" t="s">
        <v>314</v>
      </c>
      <c r="P11" s="27" t="s">
        <v>331</v>
      </c>
      <c r="Q11" s="62" t="s">
        <v>405</v>
      </c>
      <c r="R11" s="75" t="s">
        <v>367</v>
      </c>
      <c r="S11" s="75" t="str">
        <f>IF($N$2="IEC","Genauigkeitsfaktor","-")</f>
        <v>Genauigkeitsfaktor</v>
      </c>
      <c r="T11" s="9" t="s">
        <v>4</v>
      </c>
      <c r="U11" s="53" t="s">
        <v>4</v>
      </c>
      <c r="W11" s="54">
        <v>4</v>
      </c>
      <c r="X11" s="9" t="str">
        <f>IF(HLOOKUP($X$8,$Y$8:$AL$11,W11,0)=0,"",HLOOKUP($X$8,$Y$8:$AL$11,W11,0))</f>
        <v>-</v>
      </c>
      <c r="Y11" s="42" t="s">
        <v>4</v>
      </c>
      <c r="Z11" s="42" t="s">
        <v>4</v>
      </c>
      <c r="AA11" s="42" t="s">
        <v>4</v>
      </c>
      <c r="AB11" s="42" t="s">
        <v>4</v>
      </c>
      <c r="AC11" s="42" t="s">
        <v>4</v>
      </c>
      <c r="AD11" s="42" t="s">
        <v>4</v>
      </c>
      <c r="AE11" s="42" t="s">
        <v>4</v>
      </c>
      <c r="AF11">
        <v>975</v>
      </c>
      <c r="AG11" s="42" t="s">
        <v>4</v>
      </c>
      <c r="AH11" s="42" t="s">
        <v>4</v>
      </c>
      <c r="AI11">
        <v>1300</v>
      </c>
      <c r="AJ11" s="42" t="s">
        <v>4</v>
      </c>
      <c r="AK11" s="42" t="s">
        <v>4</v>
      </c>
      <c r="AL11" s="134" t="s">
        <v>4</v>
      </c>
      <c r="AN11" s="88">
        <v>10</v>
      </c>
      <c r="AO11" s="167" t="str">
        <f>IF(HLOOKUP($AO$2,$AP$2:$AT$12,AN11,0)=0,"",HLOOKUP($AO$2,$AP$2:$AT$12,AN11,0))</f>
        <v/>
      </c>
      <c r="AP11" s="167">
        <v>1250</v>
      </c>
      <c r="AQ11" s="167"/>
      <c r="AR11" s="167"/>
      <c r="AS11" s="167"/>
      <c r="AT11" s="167">
        <v>1250</v>
      </c>
    </row>
    <row r="12" spans="1:46" ht="15" thickBot="1" x14ac:dyDescent="0.25">
      <c r="A12" s="9">
        <v>11</v>
      </c>
      <c r="B12" s="9" t="str">
        <f t="shared" si="0"/>
        <v>CTG145G07</v>
      </c>
      <c r="C12" s="29" t="s">
        <v>71</v>
      </c>
      <c r="D12" s="29" t="s">
        <v>1476</v>
      </c>
      <c r="E12" s="251" t="s">
        <v>900</v>
      </c>
      <c r="F12" s="29" t="s">
        <v>88</v>
      </c>
      <c r="G12" s="251" t="s">
        <v>924</v>
      </c>
      <c r="H12" s="29" t="s">
        <v>151</v>
      </c>
      <c r="I12" s="24"/>
      <c r="J12" s="29">
        <v>20037802</v>
      </c>
      <c r="K12" s="24"/>
      <c r="M12" s="88">
        <v>11</v>
      </c>
      <c r="N12" s="89" t="str">
        <f t="shared" si="1"/>
        <v>5PR</v>
      </c>
      <c r="O12" s="26" t="s">
        <v>315</v>
      </c>
      <c r="P12" s="26" t="s">
        <v>333</v>
      </c>
      <c r="Q12" s="62" t="s">
        <v>406</v>
      </c>
      <c r="R12" s="75" t="s">
        <v>367</v>
      </c>
      <c r="S12" s="75" t="str">
        <f>IF($N$2="IEC","Genauigkeitsfaktor","-")</f>
        <v>Genauigkeitsfaktor</v>
      </c>
      <c r="T12" s="9" t="s">
        <v>4</v>
      </c>
      <c r="U12" s="53" t="s">
        <v>4</v>
      </c>
      <c r="W12" s="55">
        <v>5</v>
      </c>
      <c r="X12" s="56" t="e">
        <f>IF(HLOOKUP($X$8,$Y$8:$AL$11,W12,0)=0,"",HLOOKUP($X11,$Y$8:$AL$11,W12,0))</f>
        <v>#REF!</v>
      </c>
      <c r="Y12" s="59" t="s">
        <v>4</v>
      </c>
      <c r="Z12" s="59" t="s">
        <v>4</v>
      </c>
      <c r="AA12" s="59" t="s">
        <v>4</v>
      </c>
      <c r="AB12" s="59" t="s">
        <v>4</v>
      </c>
      <c r="AC12" s="59" t="s">
        <v>4</v>
      </c>
      <c r="AD12" s="59" t="s">
        <v>4</v>
      </c>
      <c r="AE12" s="59" t="s">
        <v>4</v>
      </c>
      <c r="AF12" s="59" t="s">
        <v>4</v>
      </c>
      <c r="AG12" s="59" t="s">
        <v>4</v>
      </c>
      <c r="AH12" s="59" t="s">
        <v>4</v>
      </c>
      <c r="AI12" s="59" t="s">
        <v>4</v>
      </c>
      <c r="AJ12" s="59" t="s">
        <v>4</v>
      </c>
      <c r="AK12" s="59" t="s">
        <v>4</v>
      </c>
      <c r="AL12" s="135" t="s">
        <v>4</v>
      </c>
      <c r="AN12" s="166">
        <v>11</v>
      </c>
      <c r="AO12" s="167" t="str">
        <f>IF(HLOOKUP($AO$2,$AP$2:$AT$12,AN12,0)=0,"",HLOOKUP($AO$2,$AP$2:$AT$12,AN12,0))</f>
        <v/>
      </c>
      <c r="AP12" s="167">
        <v>1500</v>
      </c>
      <c r="AQ12" s="168"/>
      <c r="AR12" s="168"/>
      <c r="AS12" s="168"/>
      <c r="AT12" s="167">
        <v>1500</v>
      </c>
    </row>
    <row r="13" spans="1:46" ht="15" thickBot="1" x14ac:dyDescent="0.25">
      <c r="A13" s="9">
        <v>12</v>
      </c>
      <c r="B13" s="9" t="str">
        <f t="shared" si="0"/>
        <v>CTG170G05</v>
      </c>
      <c r="C13" s="29" t="s">
        <v>1779</v>
      </c>
      <c r="D13" s="29" t="s">
        <v>1478</v>
      </c>
      <c r="E13" s="251" t="s">
        <v>901</v>
      </c>
      <c r="F13" s="29" t="s">
        <v>89</v>
      </c>
      <c r="G13" s="251" t="s">
        <v>925</v>
      </c>
      <c r="H13" s="29" t="s">
        <v>152</v>
      </c>
      <c r="I13" s="24"/>
      <c r="J13" s="29">
        <v>20037803</v>
      </c>
      <c r="K13" s="24"/>
      <c r="M13" s="88">
        <v>12</v>
      </c>
      <c r="N13" s="89" t="str">
        <f t="shared" si="1"/>
        <v>10P</v>
      </c>
      <c r="O13" s="26" t="s">
        <v>316</v>
      </c>
      <c r="P13" s="26" t="s">
        <v>335</v>
      </c>
      <c r="Q13" s="62" t="s">
        <v>407</v>
      </c>
      <c r="R13" s="75" t="s">
        <v>367</v>
      </c>
      <c r="S13" s="75" t="str">
        <f>IF($N$2="IEC","Genauigkeitsfaktor","-")</f>
        <v>Genauigkeitsfaktor</v>
      </c>
      <c r="T13" s="9" t="s">
        <v>4</v>
      </c>
      <c r="U13" s="53" t="s">
        <v>4</v>
      </c>
      <c r="W13" s="54"/>
      <c r="X13" s="23" t="s">
        <v>539</v>
      </c>
      <c r="Y13" s="865" t="s">
        <v>541</v>
      </c>
      <c r="Z13" s="865"/>
      <c r="AA13" s="865"/>
      <c r="AB13" s="865"/>
      <c r="AC13" s="865"/>
      <c r="AD13" s="865"/>
      <c r="AE13" s="865"/>
      <c r="AF13" s="865"/>
      <c r="AG13" s="865"/>
      <c r="AH13" s="865"/>
      <c r="AI13" s="865"/>
      <c r="AJ13" s="865"/>
      <c r="AK13" s="865"/>
      <c r="AL13" s="866"/>
      <c r="AN13" s="182">
        <v>11</v>
      </c>
      <c r="AO13" s="169" t="s">
        <v>1416</v>
      </c>
      <c r="AP13" s="169" t="s">
        <v>1416</v>
      </c>
      <c r="AQ13" s="169" t="s">
        <v>1416</v>
      </c>
      <c r="AR13" s="169" t="s">
        <v>1416</v>
      </c>
      <c r="AS13" s="169" t="s">
        <v>1416</v>
      </c>
      <c r="AT13" s="169" t="s">
        <v>1416</v>
      </c>
    </row>
    <row r="14" spans="1:46" x14ac:dyDescent="0.2">
      <c r="A14" s="9">
        <v>13</v>
      </c>
      <c r="B14" s="9" t="str">
        <f t="shared" si="0"/>
        <v>CTG170-040-0300</v>
      </c>
      <c r="C14" s="29" t="s">
        <v>1598</v>
      </c>
      <c r="D14" s="29" t="s">
        <v>1477</v>
      </c>
      <c r="E14" s="251" t="s">
        <v>902</v>
      </c>
      <c r="F14" s="29" t="s">
        <v>167</v>
      </c>
      <c r="G14" s="251" t="s">
        <v>926</v>
      </c>
      <c r="H14" s="29" t="s">
        <v>153</v>
      </c>
      <c r="I14" s="24"/>
      <c r="J14" s="29">
        <v>20037804</v>
      </c>
      <c r="K14" s="24"/>
      <c r="M14" s="88">
        <v>13</v>
      </c>
      <c r="N14" s="89" t="str">
        <f t="shared" si="1"/>
        <v>10PR</v>
      </c>
      <c r="O14" s="26" t="s">
        <v>317</v>
      </c>
      <c r="P14" s="26" t="s">
        <v>337</v>
      </c>
      <c r="Q14" s="62" t="s">
        <v>408</v>
      </c>
      <c r="R14" s="75" t="s">
        <v>367</v>
      </c>
      <c r="S14" s="75" t="str">
        <f>IF($N$2="IEC","Genauigkeitsfaktor","-")</f>
        <v>Genauigkeitsfaktor</v>
      </c>
      <c r="T14" s="9" t="s">
        <v>4</v>
      </c>
      <c r="U14" s="53" t="s">
        <v>4</v>
      </c>
      <c r="W14" s="54"/>
      <c r="X14" s="131">
        <f>X8</f>
        <v>420</v>
      </c>
      <c r="Y14" s="170">
        <f>Y8</f>
        <v>72.5</v>
      </c>
      <c r="Z14" s="18">
        <f>Z8</f>
        <v>123</v>
      </c>
      <c r="AA14" s="18">
        <f t="shared" ref="AA14:AL14" si="6">AA8</f>
        <v>145</v>
      </c>
      <c r="AB14" s="18">
        <f t="shared" si="6"/>
        <v>170</v>
      </c>
      <c r="AC14" s="18">
        <f t="shared" si="6"/>
        <v>232</v>
      </c>
      <c r="AD14" s="18">
        <f t="shared" si="6"/>
        <v>245</v>
      </c>
      <c r="AE14" s="18">
        <f t="shared" si="6"/>
        <v>300</v>
      </c>
      <c r="AF14" s="18">
        <f t="shared" si="6"/>
        <v>362</v>
      </c>
      <c r="AG14" s="18">
        <f t="shared" si="6"/>
        <v>420</v>
      </c>
      <c r="AH14" s="18">
        <f t="shared" si="6"/>
        <v>500</v>
      </c>
      <c r="AI14" s="18">
        <f t="shared" si="6"/>
        <v>550</v>
      </c>
      <c r="AJ14" s="18">
        <f t="shared" si="6"/>
        <v>765</v>
      </c>
      <c r="AK14" s="18">
        <f t="shared" si="6"/>
        <v>800</v>
      </c>
      <c r="AL14" s="153">
        <f t="shared" si="6"/>
        <v>1000</v>
      </c>
      <c r="AN14" s="9"/>
      <c r="AO14" s="168"/>
      <c r="AP14" s="168"/>
      <c r="AQ14" s="168"/>
      <c r="AR14" s="168"/>
      <c r="AS14" s="168"/>
      <c r="AT14" s="168"/>
    </row>
    <row r="15" spans="1:46" x14ac:dyDescent="0.2">
      <c r="A15" s="9">
        <v>14</v>
      </c>
      <c r="B15" s="9" t="str">
        <f t="shared" si="0"/>
        <v>CTG245-030-0150</v>
      </c>
      <c r="C15" s="29" t="s">
        <v>77</v>
      </c>
      <c r="D15" s="29" t="s">
        <v>910</v>
      </c>
      <c r="E15" s="251" t="s">
        <v>31</v>
      </c>
      <c r="F15" s="29" t="s">
        <v>95</v>
      </c>
      <c r="G15" s="251" t="s">
        <v>1620</v>
      </c>
      <c r="H15" s="29" t="s">
        <v>154</v>
      </c>
      <c r="I15" s="24"/>
      <c r="J15" s="29">
        <v>20037805</v>
      </c>
      <c r="K15" s="24"/>
      <c r="M15" s="88">
        <v>14</v>
      </c>
      <c r="N15" s="89" t="str">
        <f t="shared" si="1"/>
        <v>PX</v>
      </c>
      <c r="O15" s="26" t="s">
        <v>322</v>
      </c>
      <c r="P15" s="26" t="s">
        <v>339</v>
      </c>
      <c r="Q15" s="62" t="s">
        <v>409</v>
      </c>
      <c r="R15" s="75" t="s">
        <v>367</v>
      </c>
      <c r="S15" s="75" t="s">
        <v>4</v>
      </c>
      <c r="T15" s="9" t="s">
        <v>4</v>
      </c>
      <c r="U15" s="53" t="str">
        <f>IF($N$2="IEC","PX","-")</f>
        <v>PX</v>
      </c>
      <c r="W15" s="54">
        <v>2</v>
      </c>
      <c r="X15" s="9">
        <f>IF(HLOOKUP($X$14,$Y$14:$AL$17,W15,0)=0,"",HLOOKUP($X$14,$Y$14:$AL$17,W15,0))</f>
        <v>570</v>
      </c>
      <c r="Y15" s="42">
        <v>140</v>
      </c>
      <c r="Z15" s="42">
        <v>185</v>
      </c>
      <c r="AA15" s="42">
        <v>230</v>
      </c>
      <c r="AB15" s="42">
        <v>275</v>
      </c>
      <c r="AC15" s="42">
        <v>395</v>
      </c>
      <c r="AD15" s="42">
        <v>395</v>
      </c>
      <c r="AE15" s="42">
        <v>395</v>
      </c>
      <c r="AF15" s="42">
        <v>460</v>
      </c>
      <c r="AG15" s="42">
        <v>570</v>
      </c>
      <c r="AH15" s="42">
        <v>630</v>
      </c>
      <c r="AI15" s="42">
        <v>630</v>
      </c>
      <c r="AJ15" s="42">
        <v>880</v>
      </c>
      <c r="AK15" s="42">
        <v>880</v>
      </c>
      <c r="AL15" s="153">
        <v>880</v>
      </c>
      <c r="AO15" t="str">
        <f>LEFT(Auswahlfelder!A65,4)</f>
        <v/>
      </c>
      <c r="AP15" s="167"/>
    </row>
    <row r="16" spans="1:46" x14ac:dyDescent="0.2">
      <c r="A16" s="9">
        <v>15</v>
      </c>
      <c r="B16" s="9" t="str">
        <f t="shared" si="0"/>
        <v>CTG245-040-0300</v>
      </c>
      <c r="C16" s="29" t="s">
        <v>78</v>
      </c>
      <c r="D16" s="29" t="s">
        <v>833</v>
      </c>
      <c r="E16" s="251" t="s">
        <v>1594</v>
      </c>
      <c r="F16" s="29" t="s">
        <v>96</v>
      </c>
      <c r="G16" s="251" t="s">
        <v>1621</v>
      </c>
      <c r="H16" s="29" t="s">
        <v>155</v>
      </c>
      <c r="I16" s="24"/>
      <c r="J16" s="29">
        <v>20046701</v>
      </c>
      <c r="K16" s="24"/>
      <c r="M16" s="88">
        <v>15</v>
      </c>
      <c r="N16" s="89" t="str">
        <f t="shared" si="1"/>
        <v>PXR</v>
      </c>
      <c r="O16" s="26" t="s">
        <v>323</v>
      </c>
      <c r="P16" s="26" t="s">
        <v>340</v>
      </c>
      <c r="Q16" s="62" t="s">
        <v>350</v>
      </c>
      <c r="R16" s="75" t="s">
        <v>367</v>
      </c>
      <c r="S16" s="75" t="s">
        <v>4</v>
      </c>
      <c r="T16" s="75" t="s">
        <v>4</v>
      </c>
      <c r="U16" s="53" t="str">
        <f>IF($N$2="IEC","PXR","-")</f>
        <v>PXR</v>
      </c>
      <c r="W16" s="54">
        <v>3</v>
      </c>
      <c r="X16" s="9">
        <f t="shared" ref="X16:X17" si="7">IF(HLOOKUP($X$14,$Y$14:$AL$17,W16,0)=0,"",HLOOKUP($X$14,$Y$14:$AL$17,W16,0))</f>
        <v>630</v>
      </c>
      <c r="Y16" s="42" t="s">
        <v>4</v>
      </c>
      <c r="Z16" s="42">
        <v>230</v>
      </c>
      <c r="AA16" s="42">
        <v>275</v>
      </c>
      <c r="AB16" s="42">
        <v>325</v>
      </c>
      <c r="AC16" s="42">
        <v>460</v>
      </c>
      <c r="AD16" s="42">
        <v>460</v>
      </c>
      <c r="AE16" s="42">
        <v>460</v>
      </c>
      <c r="AF16" s="42">
        <v>510</v>
      </c>
      <c r="AG16" s="42">
        <v>630</v>
      </c>
      <c r="AH16" s="42">
        <v>680</v>
      </c>
      <c r="AI16" s="42">
        <v>680</v>
      </c>
      <c r="AJ16" s="42">
        <v>975</v>
      </c>
      <c r="AK16" s="42">
        <v>975</v>
      </c>
      <c r="AL16" s="153">
        <v>975</v>
      </c>
    </row>
    <row r="17" spans="1:42" ht="15" thickBot="1" x14ac:dyDescent="0.25">
      <c r="A17" s="9">
        <v>16</v>
      </c>
      <c r="B17" s="9" t="str">
        <f t="shared" si="0"/>
        <v>CTG245-040-0390</v>
      </c>
      <c r="C17" s="29" t="s">
        <v>1408</v>
      </c>
      <c r="D17" s="29" t="s">
        <v>1514</v>
      </c>
      <c r="E17" s="251" t="s">
        <v>73</v>
      </c>
      <c r="F17" s="29" t="s">
        <v>103</v>
      </c>
      <c r="G17" s="251" t="s">
        <v>927</v>
      </c>
      <c r="H17" s="29" t="s">
        <v>156</v>
      </c>
      <c r="I17" s="24"/>
      <c r="J17" s="29">
        <v>20046702</v>
      </c>
      <c r="K17" s="24"/>
      <c r="M17" s="88">
        <v>16</v>
      </c>
      <c r="N17" s="89" t="str">
        <f t="shared" si="1"/>
        <v>TPX</v>
      </c>
      <c r="O17" s="26" t="s">
        <v>318</v>
      </c>
      <c r="P17" s="26" t="s">
        <v>341</v>
      </c>
      <c r="Q17" s="62" t="s">
        <v>410</v>
      </c>
      <c r="R17" s="75" t="s">
        <v>367</v>
      </c>
      <c r="S17" s="75" t="s">
        <v>4</v>
      </c>
      <c r="T17" s="75" t="str">
        <f t="shared" ref="T17:T22" si="8">IF($N$2="IEC","Konstante","-")</f>
        <v>Konstante</v>
      </c>
      <c r="U17" s="53" t="s">
        <v>4</v>
      </c>
      <c r="W17" s="55">
        <v>4</v>
      </c>
      <c r="X17" s="56">
        <f t="shared" si="7"/>
        <v>680</v>
      </c>
      <c r="Y17" s="59" t="s">
        <v>4</v>
      </c>
      <c r="Z17" s="59" t="s">
        <v>4</v>
      </c>
      <c r="AA17" s="59" t="s">
        <v>4</v>
      </c>
      <c r="AB17" s="59" t="s">
        <v>4</v>
      </c>
      <c r="AC17" s="59" t="s">
        <v>4</v>
      </c>
      <c r="AD17" s="59" t="s">
        <v>4</v>
      </c>
      <c r="AE17" s="59" t="s">
        <v>4</v>
      </c>
      <c r="AF17" s="59">
        <v>575</v>
      </c>
      <c r="AG17" s="59">
        <v>680</v>
      </c>
      <c r="AH17" s="59" t="s">
        <v>4</v>
      </c>
      <c r="AI17" s="59" t="s">
        <v>4</v>
      </c>
      <c r="AJ17" s="59" t="s">
        <v>4</v>
      </c>
      <c r="AK17" s="59" t="s">
        <v>4</v>
      </c>
      <c r="AL17" s="135" t="s">
        <v>4</v>
      </c>
    </row>
    <row r="18" spans="1:42" ht="15" thickBot="1" x14ac:dyDescent="0.25">
      <c r="A18" s="9">
        <v>17</v>
      </c>
      <c r="B18" s="9" t="str">
        <f t="shared" si="0"/>
        <v>CTG245-050-0650</v>
      </c>
      <c r="C18" s="29" t="s">
        <v>79</v>
      </c>
      <c r="D18" s="29" t="s">
        <v>1515</v>
      </c>
      <c r="E18" s="251" t="s">
        <v>903</v>
      </c>
      <c r="F18" s="29" t="s">
        <v>104</v>
      </c>
      <c r="G18" s="251" t="s">
        <v>1624</v>
      </c>
      <c r="H18" s="29" t="s">
        <v>157</v>
      </c>
      <c r="I18" s="24"/>
      <c r="J18" s="29">
        <v>20046702</v>
      </c>
      <c r="K18" s="24"/>
      <c r="M18" s="88">
        <v>17</v>
      </c>
      <c r="N18" s="89" t="str">
        <f t="shared" si="1"/>
        <v>TPY</v>
      </c>
      <c r="O18" s="26" t="s">
        <v>319</v>
      </c>
      <c r="P18" s="26" t="s">
        <v>343</v>
      </c>
      <c r="Q18" s="62" t="s">
        <v>411</v>
      </c>
      <c r="R18" s="75" t="s">
        <v>367</v>
      </c>
      <c r="S18" s="75" t="s">
        <v>4</v>
      </c>
      <c r="T18" s="75" t="str">
        <f t="shared" si="8"/>
        <v>Konstante</v>
      </c>
      <c r="U18" s="53" t="s">
        <v>4</v>
      </c>
    </row>
    <row r="19" spans="1:42" x14ac:dyDescent="0.2">
      <c r="A19" s="9">
        <v>18</v>
      </c>
      <c r="B19" s="9" t="str">
        <f t="shared" si="0"/>
        <v>CTG300-030-0150</v>
      </c>
      <c r="C19" s="29" t="s">
        <v>84</v>
      </c>
      <c r="D19" s="29" t="s">
        <v>834</v>
      </c>
      <c r="E19" s="251" t="s">
        <v>904</v>
      </c>
      <c r="F19" s="29" t="s">
        <v>105</v>
      </c>
      <c r="G19" s="251" t="s">
        <v>1625</v>
      </c>
      <c r="H19" s="24"/>
      <c r="I19" s="24"/>
      <c r="J19" s="29">
        <v>20053002</v>
      </c>
      <c r="K19" s="24"/>
      <c r="M19" s="88">
        <v>18</v>
      </c>
      <c r="N19" s="89" t="str">
        <f t="shared" si="1"/>
        <v>TPZ</v>
      </c>
      <c r="O19" s="26" t="s">
        <v>320</v>
      </c>
      <c r="P19" s="110"/>
      <c r="Q19" s="62" t="s">
        <v>412</v>
      </c>
      <c r="R19" s="75" t="s">
        <v>367</v>
      </c>
      <c r="S19" s="75" t="s">
        <v>4</v>
      </c>
      <c r="T19" s="75" t="str">
        <f t="shared" si="8"/>
        <v>Konstante</v>
      </c>
      <c r="U19" s="53" t="s">
        <v>4</v>
      </c>
      <c r="W19" s="137" t="s">
        <v>539</v>
      </c>
      <c r="X19" s="95"/>
      <c r="Y19" s="863" t="s">
        <v>544</v>
      </c>
      <c r="Z19" s="863"/>
      <c r="AA19" s="863"/>
      <c r="AB19" s="863"/>
      <c r="AC19" s="863"/>
      <c r="AD19" s="863"/>
      <c r="AE19" s="863"/>
      <c r="AF19" s="863"/>
      <c r="AG19" s="863"/>
      <c r="AH19" s="863"/>
      <c r="AI19" s="863"/>
      <c r="AJ19" s="863"/>
      <c r="AK19" s="863"/>
      <c r="AL19" s="864"/>
      <c r="AO19" s="132"/>
    </row>
    <row r="20" spans="1:42" x14ac:dyDescent="0.2">
      <c r="A20" s="9">
        <v>19</v>
      </c>
      <c r="B20" s="9" t="str">
        <f t="shared" si="0"/>
        <v>CTG300-040-0300</v>
      </c>
      <c r="C20" s="29" t="s">
        <v>85</v>
      </c>
      <c r="D20" s="29" t="s">
        <v>835</v>
      </c>
      <c r="E20" s="251" t="s">
        <v>905</v>
      </c>
      <c r="F20" s="29" t="s">
        <v>106</v>
      </c>
      <c r="G20" s="251" t="s">
        <v>1626</v>
      </c>
      <c r="H20" s="24"/>
      <c r="I20" s="24"/>
      <c r="J20" s="29">
        <v>20053003</v>
      </c>
      <c r="K20" s="24"/>
      <c r="M20" s="88">
        <v>19</v>
      </c>
      <c r="N20" s="89" t="str">
        <f>IF(HLOOKUP($N$2,$O$2:$Q$22,M20,0)=0,"",HLOOKUP($N$2,$O$2:$Q$22,M20,0))</f>
        <v/>
      </c>
      <c r="O20" s="26"/>
      <c r="P20" s="110"/>
      <c r="Q20" s="62" t="s">
        <v>413</v>
      </c>
      <c r="R20" s="75" t="s">
        <v>367</v>
      </c>
      <c r="S20" s="75" t="s">
        <v>4</v>
      </c>
      <c r="T20" s="75" t="str">
        <f t="shared" si="8"/>
        <v>Konstante</v>
      </c>
      <c r="U20" s="53" t="s">
        <v>4</v>
      </c>
      <c r="W20" s="136">
        <f>X14</f>
        <v>420</v>
      </c>
      <c r="X20" s="129" t="str">
        <f>IF('DB GIF'!D23&lt;=245,"BIL","SIL")</f>
        <v>SIL</v>
      </c>
      <c r="Y20" s="867" t="s">
        <v>41</v>
      </c>
      <c r="Z20" s="865"/>
      <c r="AA20" s="865"/>
      <c r="AB20" s="865"/>
      <c r="AC20" s="865"/>
      <c r="AD20" s="868"/>
      <c r="AE20" s="867" t="s">
        <v>43</v>
      </c>
      <c r="AF20" s="865"/>
      <c r="AG20" s="865"/>
      <c r="AH20" s="865"/>
      <c r="AI20" s="865"/>
      <c r="AJ20" s="865"/>
      <c r="AK20" s="865"/>
      <c r="AL20" s="866"/>
      <c r="AP20" s="167"/>
    </row>
    <row r="21" spans="1:42" x14ac:dyDescent="0.2">
      <c r="A21" s="9">
        <v>20</v>
      </c>
      <c r="B21" s="9" t="str">
        <f t="shared" si="0"/>
        <v>CTG300-040-0390</v>
      </c>
      <c r="C21" s="29" t="s">
        <v>1693</v>
      </c>
      <c r="D21" s="29" t="s">
        <v>836</v>
      </c>
      <c r="E21" s="251" t="s">
        <v>906</v>
      </c>
      <c r="F21" s="29" t="s">
        <v>107</v>
      </c>
      <c r="G21" s="251" t="s">
        <v>1627</v>
      </c>
      <c r="H21" s="24"/>
      <c r="I21" s="24"/>
      <c r="J21" s="29">
        <v>20059101</v>
      </c>
      <c r="K21" s="24"/>
      <c r="M21" s="88">
        <v>20</v>
      </c>
      <c r="N21" s="89" t="str">
        <f>IF(HLOOKUP($N$2,$O$2:$Q$22,M21,0)=0,"",HLOOKUP($N$2,$O$2:$Q$22,M21,0))</f>
        <v/>
      </c>
      <c r="O21" s="26"/>
      <c r="P21" s="110"/>
      <c r="Q21" s="62" t="s">
        <v>414</v>
      </c>
      <c r="R21" s="75" t="s">
        <v>367</v>
      </c>
      <c r="S21" s="75" t="s">
        <v>4</v>
      </c>
      <c r="T21" s="75" t="str">
        <f t="shared" si="8"/>
        <v>Konstante</v>
      </c>
      <c r="U21" s="53" t="s">
        <v>4</v>
      </c>
      <c r="W21" s="54"/>
      <c r="X21" s="131" t="str">
        <f>IF('DB GIF'!D23&lt;=245,AA31,AA32)</f>
        <v>-</v>
      </c>
      <c r="Y21" s="148">
        <v>325</v>
      </c>
      <c r="Z21" s="132">
        <v>550</v>
      </c>
      <c r="AA21" s="132">
        <v>650</v>
      </c>
      <c r="AB21" s="132">
        <v>750</v>
      </c>
      <c r="AC21" s="132">
        <v>950</v>
      </c>
      <c r="AD21" s="132">
        <v>1050</v>
      </c>
      <c r="AE21" s="144">
        <v>750</v>
      </c>
      <c r="AF21" s="132">
        <v>850</v>
      </c>
      <c r="AG21" s="132">
        <v>950</v>
      </c>
      <c r="AH21" s="132">
        <v>1050</v>
      </c>
      <c r="AI21" s="132">
        <v>1175</v>
      </c>
      <c r="AJ21" s="132">
        <v>1425</v>
      </c>
      <c r="AK21" s="132">
        <v>1550</v>
      </c>
      <c r="AL21" s="133">
        <v>1675</v>
      </c>
      <c r="AP21" s="167"/>
    </row>
    <row r="22" spans="1:42" ht="15" thickBot="1" x14ac:dyDescent="0.25">
      <c r="A22" s="9">
        <v>21</v>
      </c>
      <c r="B22" s="9" t="str">
        <f t="shared" si="0"/>
        <v>CTG300-050-0650</v>
      </c>
      <c r="C22" s="29" t="s">
        <v>86</v>
      </c>
      <c r="D22" s="29" t="s">
        <v>911</v>
      </c>
      <c r="E22" s="251" t="s">
        <v>74</v>
      </c>
      <c r="F22" s="29" t="s">
        <v>108</v>
      </c>
      <c r="G22" s="251" t="s">
        <v>852</v>
      </c>
      <c r="H22" s="24"/>
      <c r="I22" s="24"/>
      <c r="J22" s="29">
        <v>20092801</v>
      </c>
      <c r="K22" s="24"/>
      <c r="M22" s="90">
        <v>21</v>
      </c>
      <c r="N22" s="111" t="str">
        <f>IF(HLOOKUP($N$2,$O$2:$Q$22,M22,0)=0,"",HLOOKUP($N$2,$O$2:$Q$22,M22,0))</f>
        <v/>
      </c>
      <c r="O22" s="91"/>
      <c r="P22" s="108"/>
      <c r="Q22" s="112" t="s">
        <v>415</v>
      </c>
      <c r="R22" s="92" t="str">
        <f>IF(N22="","","Schutzkern")</f>
        <v/>
      </c>
      <c r="S22" s="92" t="s">
        <v>4</v>
      </c>
      <c r="T22" s="92" t="str">
        <f t="shared" si="8"/>
        <v>Konstante</v>
      </c>
      <c r="U22" s="93" t="s">
        <v>4</v>
      </c>
      <c r="W22" s="54">
        <v>2</v>
      </c>
      <c r="X22" s="138" t="e">
        <f>IF($X$20="BIL",IF(HLOOKUP($X$21,$Y$21:$AD$24,W22,0)=0,"",HLOOKUP($X$21,$Y$21:$AD$24,W22,0)),IF(HLOOKUP($X$21,$AE$21:$AL$24,W22,0)=0,"",HLOOKUP($X$21,$AE$21:$AL$24,W22,0)))</f>
        <v>#N/A</v>
      </c>
      <c r="Y22" s="138">
        <v>700</v>
      </c>
      <c r="Z22" s="138">
        <v>1100</v>
      </c>
      <c r="AA22" s="138">
        <v>1250</v>
      </c>
      <c r="AB22" s="138">
        <v>1525</v>
      </c>
      <c r="AC22" s="138">
        <v>1900</v>
      </c>
      <c r="AD22" s="138">
        <v>1900</v>
      </c>
      <c r="AE22" s="145">
        <v>2600</v>
      </c>
      <c r="AF22" s="142">
        <v>2600</v>
      </c>
      <c r="AG22" s="142">
        <v>3100</v>
      </c>
      <c r="AH22" s="142">
        <v>3600</v>
      </c>
      <c r="AI22" s="142" t="s">
        <v>42</v>
      </c>
      <c r="AJ22" s="142" t="s">
        <v>42</v>
      </c>
      <c r="AK22" s="142" t="s">
        <v>42</v>
      </c>
      <c r="AL22" s="143" t="s">
        <v>42</v>
      </c>
      <c r="AP22" s="167"/>
    </row>
    <row r="23" spans="1:42" x14ac:dyDescent="0.2">
      <c r="A23" s="9">
        <v>22</v>
      </c>
      <c r="B23" s="9" t="str">
        <f t="shared" si="0"/>
        <v>CTG300-050-0650</v>
      </c>
      <c r="C23" s="29" t="s">
        <v>86</v>
      </c>
      <c r="D23" s="29" t="s">
        <v>1351</v>
      </c>
      <c r="E23" s="251" t="s">
        <v>1593</v>
      </c>
      <c r="F23" s="29" t="s">
        <v>109</v>
      </c>
      <c r="G23" s="251" t="s">
        <v>179</v>
      </c>
      <c r="H23" s="24"/>
      <c r="I23" s="24"/>
      <c r="J23" s="29">
        <v>20124901</v>
      </c>
      <c r="K23" s="24"/>
      <c r="M23" s="9"/>
      <c r="Q23" s="84" t="s">
        <v>416</v>
      </c>
      <c r="W23" s="54">
        <v>3</v>
      </c>
      <c r="X23" s="138" t="e">
        <f t="shared" ref="X23:X24" si="9">IF($X$20="BIL",IF(HLOOKUP($X$21,$Y$21:$AD$24,W23,0)=0,"",HLOOKUP($X$21,$Y$21:$AD$24,W23,0)),IF(HLOOKUP($X$21,$AE$21:$AL$24,W23,0)=0,"",HLOOKUP($X$21,$AE$21:$AL$24,W23,0)))</f>
        <v>#N/A</v>
      </c>
      <c r="Y23" s="138" t="s">
        <v>4</v>
      </c>
      <c r="Z23" s="138" t="s">
        <v>4</v>
      </c>
      <c r="AA23" s="138" t="s">
        <v>4</v>
      </c>
      <c r="AB23" s="138" t="s">
        <v>4</v>
      </c>
      <c r="AC23" s="138" t="s">
        <v>4</v>
      </c>
      <c r="AD23" s="138">
        <v>2100</v>
      </c>
      <c r="AE23" s="145">
        <v>3100</v>
      </c>
      <c r="AF23" s="142">
        <v>3100</v>
      </c>
      <c r="AG23" s="142">
        <v>3600</v>
      </c>
      <c r="AH23" s="142" t="s">
        <v>42</v>
      </c>
      <c r="AI23" s="142" t="s">
        <v>42</v>
      </c>
      <c r="AJ23" s="142" t="s">
        <v>42</v>
      </c>
      <c r="AK23" s="142" t="s">
        <v>42</v>
      </c>
      <c r="AL23" s="143" t="s">
        <v>42</v>
      </c>
      <c r="AP23" s="167"/>
    </row>
    <row r="24" spans="1:42" ht="15" thickBot="1" x14ac:dyDescent="0.25">
      <c r="A24" s="9">
        <v>23</v>
      </c>
      <c r="B24" s="9" t="str">
        <f t="shared" si="0"/>
        <v>CTG362-040-0150</v>
      </c>
      <c r="C24" s="29" t="s">
        <v>90</v>
      </c>
      <c r="D24" s="29" t="s">
        <v>75</v>
      </c>
      <c r="E24" s="251" t="s">
        <v>1427</v>
      </c>
      <c r="F24" s="29" t="s">
        <v>168</v>
      </c>
      <c r="G24" s="251" t="s">
        <v>853</v>
      </c>
      <c r="H24" s="24"/>
      <c r="I24" s="24"/>
      <c r="J24" s="29">
        <v>20126101</v>
      </c>
      <c r="K24" s="24"/>
      <c r="W24" s="55">
        <v>4</v>
      </c>
      <c r="X24" s="139" t="e">
        <f t="shared" si="9"/>
        <v>#N/A</v>
      </c>
      <c r="Y24" s="139" t="s">
        <v>4</v>
      </c>
      <c r="Z24" s="139" t="s">
        <v>4</v>
      </c>
      <c r="AA24" s="139" t="s">
        <v>4</v>
      </c>
      <c r="AB24" s="139" t="s">
        <v>4</v>
      </c>
      <c r="AC24" s="139" t="s">
        <v>4</v>
      </c>
      <c r="AD24" s="139" t="s">
        <v>4</v>
      </c>
      <c r="AE24" s="146">
        <v>3600</v>
      </c>
      <c r="AF24" s="139">
        <v>3600</v>
      </c>
      <c r="AG24" s="139" t="s">
        <v>4</v>
      </c>
      <c r="AH24" s="139" t="s">
        <v>4</v>
      </c>
      <c r="AI24" s="139" t="s">
        <v>4</v>
      </c>
      <c r="AJ24" s="139" t="s">
        <v>4</v>
      </c>
      <c r="AK24" s="139" t="s">
        <v>4</v>
      </c>
      <c r="AL24" s="140" t="s">
        <v>4</v>
      </c>
    </row>
    <row r="25" spans="1:42" ht="15" thickBot="1" x14ac:dyDescent="0.25">
      <c r="A25" s="9">
        <v>24</v>
      </c>
      <c r="B25" s="9" t="str">
        <f t="shared" si="0"/>
        <v>CTG362-040-0240</v>
      </c>
      <c r="C25" s="29" t="s">
        <v>1604</v>
      </c>
      <c r="D25" s="29" t="s">
        <v>1410</v>
      </c>
      <c r="E25" s="251" t="s">
        <v>907</v>
      </c>
      <c r="F25" s="29" t="s">
        <v>118</v>
      </c>
      <c r="G25" s="251" t="s">
        <v>178</v>
      </c>
      <c r="H25" s="24"/>
      <c r="I25" s="24"/>
      <c r="J25" s="29">
        <v>20137201</v>
      </c>
      <c r="K25" s="24"/>
    </row>
    <row r="26" spans="1:42" x14ac:dyDescent="0.2">
      <c r="A26" s="9">
        <v>25</v>
      </c>
      <c r="B26" s="9" t="str">
        <f t="shared" si="0"/>
        <v>CTG362-040-0300</v>
      </c>
      <c r="C26" s="29" t="s">
        <v>91</v>
      </c>
      <c r="D26" s="29" t="s">
        <v>1410</v>
      </c>
      <c r="E26" s="251" t="s">
        <v>908</v>
      </c>
      <c r="F26" s="29" t="s">
        <v>169</v>
      </c>
      <c r="G26" s="251" t="s">
        <v>854</v>
      </c>
      <c r="H26" s="24"/>
      <c r="I26" s="24"/>
      <c r="J26" s="29">
        <v>20137202</v>
      </c>
      <c r="K26" s="24"/>
      <c r="M26" s="94"/>
      <c r="N26" s="95"/>
      <c r="O26" s="851" t="s">
        <v>371</v>
      </c>
      <c r="P26" s="852"/>
      <c r="Q26" s="853"/>
      <c r="W26" s="857" t="s">
        <v>545</v>
      </c>
      <c r="X26" s="858"/>
      <c r="Y26" s="858"/>
      <c r="Z26" s="858"/>
      <c r="AA26" s="859"/>
      <c r="AC26" s="137" t="s">
        <v>540</v>
      </c>
      <c r="AD26" s="95"/>
      <c r="AE26" s="159" t="s">
        <v>41</v>
      </c>
      <c r="AF26" s="159"/>
      <c r="AG26" s="159" t="s">
        <v>43</v>
      </c>
      <c r="AH26" s="160"/>
    </row>
    <row r="27" spans="1:42" x14ac:dyDescent="0.2">
      <c r="A27" s="9">
        <v>26</v>
      </c>
      <c r="B27" s="9" t="str">
        <f t="shared" si="0"/>
        <v>CTG362-040-0390</v>
      </c>
      <c r="C27" s="29" t="s">
        <v>1692</v>
      </c>
      <c r="D27" s="29" t="s">
        <v>912</v>
      </c>
      <c r="E27" s="251" t="s">
        <v>909</v>
      </c>
      <c r="F27" s="29" t="s">
        <v>171</v>
      </c>
      <c r="G27" s="251" t="s">
        <v>1632</v>
      </c>
      <c r="H27" s="24"/>
      <c r="I27" s="24"/>
      <c r="J27" s="29">
        <v>20314301</v>
      </c>
      <c r="K27" s="24"/>
      <c r="M27" s="54" t="s">
        <v>352</v>
      </c>
      <c r="N27" s="30" t="str">
        <f>N2</f>
        <v>IEC</v>
      </c>
      <c r="O27" s="63" t="str">
        <f>O2</f>
        <v>IEC</v>
      </c>
      <c r="P27" s="24" t="str">
        <f>P2</f>
        <v>IEEE C57.13</v>
      </c>
      <c r="Q27" s="103" t="str">
        <f>Q2</f>
        <v xml:space="preserve"> CAN/CSA</v>
      </c>
      <c r="W27" s="149">
        <f>'DB GIF'!J23</f>
        <v>1000</v>
      </c>
      <c r="X27" s="150"/>
      <c r="Z27" s="2"/>
      <c r="AA27" s="50"/>
      <c r="AC27" s="88">
        <v>140</v>
      </c>
      <c r="AD27" s="9">
        <v>185</v>
      </c>
      <c r="AE27" s="9">
        <v>325</v>
      </c>
      <c r="AF27" s="9">
        <v>450</v>
      </c>
      <c r="AG27" s="9">
        <v>750</v>
      </c>
      <c r="AH27" s="51">
        <v>850</v>
      </c>
    </row>
    <row r="28" spans="1:42" x14ac:dyDescent="0.2">
      <c r="A28" s="9">
        <v>27</v>
      </c>
      <c r="B28" s="9" t="str">
        <f t="shared" si="0"/>
        <v>CTG362-050-0440</v>
      </c>
      <c r="C28" s="29" t="s">
        <v>92</v>
      </c>
      <c r="D28" s="29" t="s">
        <v>913</v>
      </c>
      <c r="E28" s="251" t="s">
        <v>1773</v>
      </c>
      <c r="F28" s="29" t="s">
        <v>119</v>
      </c>
      <c r="G28" s="251" t="s">
        <v>270</v>
      </c>
      <c r="H28" s="24"/>
      <c r="I28" s="24"/>
      <c r="J28" s="29">
        <v>20321601</v>
      </c>
      <c r="K28" s="24"/>
      <c r="M28" s="88">
        <v>2</v>
      </c>
      <c r="N28" s="9" t="str">
        <f>IF(HLOOKUP($N$27,$O$27:$Q$34,M28,0)=0,"",HLOOKUP($N$27,$O$27:$Q$34,M28,0))</f>
        <v/>
      </c>
      <c r="O28" s="335"/>
      <c r="P28" s="24" t="s">
        <v>342</v>
      </c>
      <c r="Q28" s="103" t="s">
        <v>342</v>
      </c>
      <c r="W28" s="860" t="s">
        <v>547</v>
      </c>
      <c r="X28" s="861"/>
      <c r="Y28" s="861"/>
      <c r="Z28" s="861"/>
      <c r="AA28" s="862"/>
      <c r="AC28" s="88">
        <v>185</v>
      </c>
      <c r="AD28" s="9">
        <v>230</v>
      </c>
      <c r="AE28" s="9">
        <v>450</v>
      </c>
      <c r="AF28" s="9">
        <v>550</v>
      </c>
      <c r="AG28" s="9">
        <v>850</v>
      </c>
      <c r="AH28" s="51">
        <v>1050</v>
      </c>
    </row>
    <row r="29" spans="1:42" x14ac:dyDescent="0.2">
      <c r="A29" s="9">
        <v>28</v>
      </c>
      <c r="B29" s="9" t="str">
        <f t="shared" si="0"/>
        <v>CTG420-040-0150</v>
      </c>
      <c r="C29" s="29" t="s">
        <v>100</v>
      </c>
      <c r="D29" s="29" t="s">
        <v>914</v>
      </c>
      <c r="E29" s="251" t="s">
        <v>825</v>
      </c>
      <c r="F29" s="29" t="s">
        <v>124</v>
      </c>
      <c r="G29" s="251" t="s">
        <v>271</v>
      </c>
      <c r="H29" s="24"/>
      <c r="I29" s="24"/>
      <c r="J29" s="29">
        <v>20321602</v>
      </c>
      <c r="K29" s="24"/>
      <c r="M29" s="88">
        <v>3</v>
      </c>
      <c r="N29" s="9" t="str">
        <f t="shared" ref="N29:N34" si="10">IF(HLOOKUP($N$27,$O$27:$Q$34,M29,0)=0,"",HLOOKUP($N$27,$O$27:$Q$34,M29,0))</f>
        <v/>
      </c>
      <c r="O29" s="334"/>
      <c r="P29" s="24" t="s">
        <v>344</v>
      </c>
      <c r="Q29" s="103" t="s">
        <v>344</v>
      </c>
      <c r="W29" s="147"/>
      <c r="X29" s="141" t="s">
        <v>546</v>
      </c>
      <c r="Y29" s="141" t="s">
        <v>517</v>
      </c>
      <c r="Z29" s="141" t="s">
        <v>548</v>
      </c>
      <c r="AA29" s="158" t="s">
        <v>549</v>
      </c>
      <c r="AC29" s="88">
        <v>230</v>
      </c>
      <c r="AD29" s="9">
        <v>275</v>
      </c>
      <c r="AE29" s="9">
        <v>550</v>
      </c>
      <c r="AF29" s="9">
        <v>650</v>
      </c>
      <c r="AG29" s="9">
        <v>1050</v>
      </c>
      <c r="AH29" s="51">
        <v>1175</v>
      </c>
    </row>
    <row r="30" spans="1:42" x14ac:dyDescent="0.2">
      <c r="A30" s="9">
        <v>29</v>
      </c>
      <c r="B30" s="9" t="str">
        <f t="shared" si="0"/>
        <v>CTG420-040-0240</v>
      </c>
      <c r="C30" s="29" t="s">
        <v>1112</v>
      </c>
      <c r="D30" s="29" t="s">
        <v>915</v>
      </c>
      <c r="E30" s="251" t="s">
        <v>826</v>
      </c>
      <c r="F30" s="29" t="s">
        <v>130</v>
      </c>
      <c r="G30" s="251" t="s">
        <v>855</v>
      </c>
      <c r="H30" s="24"/>
      <c r="I30" s="24"/>
      <c r="J30" s="29">
        <v>20321603</v>
      </c>
      <c r="K30" s="24"/>
      <c r="M30" s="88">
        <v>4</v>
      </c>
      <c r="N30" s="9" t="str">
        <f t="shared" si="10"/>
        <v/>
      </c>
      <c r="O30" s="334"/>
      <c r="P30" s="24" t="s">
        <v>345</v>
      </c>
      <c r="Q30" s="103" t="s">
        <v>345</v>
      </c>
      <c r="W30" s="130" t="s">
        <v>540</v>
      </c>
      <c r="X30" s="9">
        <v>1</v>
      </c>
      <c r="Y30" s="154">
        <f>IF(W27&gt;1000,EXP(X30*($W$27-1000)/8150),1)</f>
        <v>1</v>
      </c>
      <c r="Z30" s="156">
        <f>Y30*'DB GIF'!G24</f>
        <v>680</v>
      </c>
      <c r="AA30" s="134">
        <f>IF(W27&gt;1000,VLOOKUP(LOOKUP(Z30,AC27:AC37),AC27:AD37,2,FALSE),Z30)</f>
        <v>680</v>
      </c>
      <c r="AC30" s="88">
        <v>275</v>
      </c>
      <c r="AD30" s="9">
        <v>395</v>
      </c>
      <c r="AE30" s="9">
        <v>650</v>
      </c>
      <c r="AF30" s="9">
        <v>750</v>
      </c>
      <c r="AG30" s="9">
        <v>1175</v>
      </c>
      <c r="AH30" s="51">
        <v>1425</v>
      </c>
    </row>
    <row r="31" spans="1:42" x14ac:dyDescent="0.2">
      <c r="A31" s="9">
        <v>30</v>
      </c>
      <c r="B31" s="9" t="str">
        <f t="shared" si="0"/>
        <v>CTG420-050-0440</v>
      </c>
      <c r="C31" s="29" t="s">
        <v>162</v>
      </c>
      <c r="D31" s="29" t="s">
        <v>916</v>
      </c>
      <c r="E31" s="251" t="s">
        <v>175</v>
      </c>
      <c r="F31" s="29" t="s">
        <v>131</v>
      </c>
      <c r="G31" s="251" t="s">
        <v>856</v>
      </c>
      <c r="H31" s="24"/>
      <c r="I31" s="24"/>
      <c r="J31" s="29">
        <v>20321604</v>
      </c>
      <c r="K31" s="24"/>
      <c r="M31" s="88">
        <v>5</v>
      </c>
      <c r="N31" s="9" t="str">
        <f t="shared" si="10"/>
        <v/>
      </c>
      <c r="O31" s="334"/>
      <c r="P31" s="24" t="s">
        <v>346</v>
      </c>
      <c r="Q31" s="103" t="s">
        <v>346</v>
      </c>
      <c r="W31" s="130" t="s">
        <v>41</v>
      </c>
      <c r="X31" s="9">
        <v>1</v>
      </c>
      <c r="Y31" s="154">
        <f>IF(W27&gt;1000,EXP(X31*($W$27-1000)/8150),1)</f>
        <v>1</v>
      </c>
      <c r="Z31" s="156" t="e">
        <f>Y31*'DB GIF'!D24</f>
        <v>#VALUE!</v>
      </c>
      <c r="AA31" s="134" t="e">
        <f>IF(W27&gt;1000,VLOOKUP(LOOKUP(Z31,AE27:AE40),AE26:AF40,2,FALSE),Z31)</f>
        <v>#VALUE!</v>
      </c>
      <c r="AC31" s="88">
        <v>395</v>
      </c>
      <c r="AD31" s="9">
        <v>460</v>
      </c>
      <c r="AE31" s="9">
        <v>750</v>
      </c>
      <c r="AF31" s="9">
        <v>950</v>
      </c>
      <c r="AG31" s="9">
        <v>1425</v>
      </c>
      <c r="AH31" s="51">
        <v>1550</v>
      </c>
      <c r="AO31" s="2"/>
    </row>
    <row r="32" spans="1:42" ht="15" thickBot="1" x14ac:dyDescent="0.25">
      <c r="A32" s="9">
        <v>31</v>
      </c>
      <c r="B32" s="9" t="str">
        <f t="shared" si="0"/>
        <v>CTG550-050-0150</v>
      </c>
      <c r="C32" s="29" t="s">
        <v>163</v>
      </c>
      <c r="D32" s="29" t="s">
        <v>1352</v>
      </c>
      <c r="E32" s="251" t="s">
        <v>515</v>
      </c>
      <c r="F32" s="29" t="s">
        <v>132</v>
      </c>
      <c r="G32" s="251" t="s">
        <v>857</v>
      </c>
      <c r="H32" s="24"/>
      <c r="I32" s="24"/>
      <c r="J32" s="29">
        <v>20321605</v>
      </c>
      <c r="K32" s="24"/>
      <c r="M32" s="88">
        <v>6</v>
      </c>
      <c r="N32" s="9" t="str">
        <f t="shared" si="10"/>
        <v/>
      </c>
      <c r="O32" s="334"/>
      <c r="P32" s="24" t="s">
        <v>347</v>
      </c>
      <c r="Q32" s="103" t="s">
        <v>347</v>
      </c>
      <c r="W32" s="119" t="s">
        <v>43</v>
      </c>
      <c r="X32" s="56">
        <v>0.75</v>
      </c>
      <c r="Y32" s="155">
        <f>IF(W27&gt;1000,EXP(X32*($W$27-1000)/8150),1)</f>
        <v>1</v>
      </c>
      <c r="Z32" s="247" t="str">
        <f>IFERROR(Y32*'DB GIF'!J24,"-")</f>
        <v>-</v>
      </c>
      <c r="AA32" s="157" t="str">
        <f>IF(W27&gt;1000,IFERROR(VLOOKUP(LOOKUP(Z32,AG27:AG33),AG26:AH33,2,FALSE),"-"),Z32)</f>
        <v>-</v>
      </c>
      <c r="AC32" s="88">
        <v>460</v>
      </c>
      <c r="AD32" s="9">
        <v>570</v>
      </c>
      <c r="AE32" s="9">
        <v>950</v>
      </c>
      <c r="AF32" s="9">
        <v>1050</v>
      </c>
      <c r="AG32" s="9">
        <v>1550</v>
      </c>
      <c r="AH32" s="51">
        <v>1675</v>
      </c>
    </row>
    <row r="33" spans="1:34" x14ac:dyDescent="0.2">
      <c r="A33" s="9">
        <v>32</v>
      </c>
      <c r="B33" s="9" t="str">
        <f t="shared" si="0"/>
        <v>CTG550-050-0440</v>
      </c>
      <c r="C33" s="29" t="s">
        <v>164</v>
      </c>
      <c r="D33" s="29" t="s">
        <v>917</v>
      </c>
      <c r="E33" s="251" t="s">
        <v>827</v>
      </c>
      <c r="F33" s="29" t="s">
        <v>133</v>
      </c>
      <c r="G33" s="251" t="s">
        <v>1575</v>
      </c>
      <c r="H33" s="24"/>
      <c r="I33" s="24"/>
      <c r="J33" s="29">
        <v>20334201</v>
      </c>
      <c r="K33" s="24"/>
      <c r="M33" s="88">
        <v>7</v>
      </c>
      <c r="N33" s="9" t="str">
        <f t="shared" si="10"/>
        <v/>
      </c>
      <c r="O33" s="334"/>
      <c r="P33" s="24" t="s">
        <v>348</v>
      </c>
      <c r="Q33" s="103" t="s">
        <v>348</v>
      </c>
      <c r="AC33" s="88">
        <v>570</v>
      </c>
      <c r="AD33" s="9">
        <v>630</v>
      </c>
      <c r="AE33" s="9">
        <v>1050</v>
      </c>
      <c r="AF33" s="9">
        <v>1175</v>
      </c>
      <c r="AG33" s="9">
        <v>1675</v>
      </c>
      <c r="AH33" s="50"/>
    </row>
    <row r="34" spans="1:34" ht="15" thickBot="1" x14ac:dyDescent="0.25">
      <c r="A34" s="9">
        <v>33</v>
      </c>
      <c r="B34" s="9" t="str">
        <f t="shared" si="0"/>
        <v>CTG550-060-0600</v>
      </c>
      <c r="C34" s="29" t="s">
        <v>176</v>
      </c>
      <c r="D34" s="29" t="s">
        <v>918</v>
      </c>
      <c r="E34" s="251" t="s">
        <v>828</v>
      </c>
      <c r="F34" s="29" t="s">
        <v>134</v>
      </c>
      <c r="G34" s="251" t="s">
        <v>858</v>
      </c>
      <c r="H34" s="24"/>
      <c r="I34" s="24"/>
      <c r="J34" s="29">
        <v>20354901</v>
      </c>
      <c r="K34" s="24"/>
      <c r="M34" s="90">
        <v>8</v>
      </c>
      <c r="N34" s="56" t="str">
        <f t="shared" si="10"/>
        <v/>
      </c>
      <c r="O34" s="104"/>
      <c r="P34" s="104" t="s">
        <v>349</v>
      </c>
      <c r="Q34" s="105" t="s">
        <v>349</v>
      </c>
      <c r="W34" s="2"/>
      <c r="Z34" s="856"/>
      <c r="AA34" s="856"/>
      <c r="AC34" s="88">
        <v>630</v>
      </c>
      <c r="AD34" s="9">
        <v>680</v>
      </c>
      <c r="AE34" s="9">
        <v>1175</v>
      </c>
      <c r="AF34" s="9">
        <v>1300</v>
      </c>
      <c r="AH34" s="50"/>
    </row>
    <row r="35" spans="1:34" x14ac:dyDescent="0.2">
      <c r="A35" s="9">
        <v>34</v>
      </c>
      <c r="B35" s="9" t="str">
        <f t="shared" si="0"/>
        <v>CTG550-061-0600</v>
      </c>
      <c r="C35" s="29" t="s">
        <v>860</v>
      </c>
      <c r="D35" s="29" t="s">
        <v>165</v>
      </c>
      <c r="E35" s="251" t="s">
        <v>829</v>
      </c>
      <c r="F35" s="29" t="s">
        <v>137</v>
      </c>
      <c r="G35" s="251" t="s">
        <v>1634</v>
      </c>
      <c r="H35" s="24"/>
      <c r="I35" s="24"/>
      <c r="J35" s="29">
        <v>20355001</v>
      </c>
      <c r="K35" s="24"/>
      <c r="AB35" s="2"/>
      <c r="AC35" s="88">
        <v>680</v>
      </c>
      <c r="AD35" s="9">
        <v>880</v>
      </c>
      <c r="AE35" s="9">
        <v>1300</v>
      </c>
      <c r="AF35" s="9">
        <v>1425</v>
      </c>
      <c r="AH35" s="50"/>
    </row>
    <row r="36" spans="1:34" ht="15" thickBot="1" x14ac:dyDescent="0.25">
      <c r="A36" s="9">
        <v>35</v>
      </c>
      <c r="B36" s="9" t="str">
        <f t="shared" si="0"/>
        <v>CTG550G05</v>
      </c>
      <c r="C36" s="29" t="s">
        <v>117</v>
      </c>
      <c r="D36" s="29" t="s">
        <v>919</v>
      </c>
      <c r="E36" s="251" t="s">
        <v>830</v>
      </c>
      <c r="F36" s="29" t="s">
        <v>138</v>
      </c>
      <c r="G36" s="251" t="s">
        <v>1635</v>
      </c>
      <c r="H36" s="24"/>
      <c r="I36" s="24"/>
      <c r="J36" s="29">
        <v>20355401</v>
      </c>
      <c r="K36" s="24"/>
      <c r="M36" s="9"/>
      <c r="N36" s="9"/>
      <c r="O36" s="9"/>
      <c r="P36" s="9"/>
      <c r="Q36" s="9"/>
      <c r="AC36" s="88">
        <v>880</v>
      </c>
      <c r="AD36" s="9">
        <v>975</v>
      </c>
      <c r="AE36" s="9">
        <v>1425</v>
      </c>
      <c r="AF36" s="9">
        <v>1550</v>
      </c>
      <c r="AH36" s="50"/>
    </row>
    <row r="37" spans="1:34" x14ac:dyDescent="0.2">
      <c r="A37" s="9">
        <v>36</v>
      </c>
      <c r="B37" s="9" t="str">
        <f t="shared" si="0"/>
        <v>CTG800-060-0600</v>
      </c>
      <c r="C37" s="29" t="s">
        <v>173</v>
      </c>
      <c r="D37" s="29" t="s">
        <v>76</v>
      </c>
      <c r="E37" s="251" t="s">
        <v>98</v>
      </c>
      <c r="F37" s="24"/>
      <c r="G37" s="251" t="s">
        <v>861</v>
      </c>
      <c r="H37" s="24"/>
      <c r="I37" s="24"/>
      <c r="J37" s="29">
        <v>20377401</v>
      </c>
      <c r="K37" s="24"/>
      <c r="M37" s="94"/>
      <c r="N37" s="95"/>
      <c r="O37" s="854" t="s">
        <v>312</v>
      </c>
      <c r="P37" s="854"/>
      <c r="Q37" s="855"/>
      <c r="AC37" s="88">
        <v>975</v>
      </c>
      <c r="AE37" s="9">
        <v>1550</v>
      </c>
      <c r="AF37" s="9">
        <v>1950</v>
      </c>
      <c r="AH37" s="50"/>
    </row>
    <row r="38" spans="1:34" x14ac:dyDescent="0.2">
      <c r="A38" s="9">
        <v>37</v>
      </c>
      <c r="B38" s="9" t="str">
        <f t="shared" si="0"/>
        <v>CTG800G01</v>
      </c>
      <c r="C38" s="29" t="s">
        <v>125</v>
      </c>
      <c r="D38" s="29" t="s">
        <v>1411</v>
      </c>
      <c r="E38" s="251" t="s">
        <v>97</v>
      </c>
      <c r="F38" s="24"/>
      <c r="G38" s="251" t="s">
        <v>862</v>
      </c>
      <c r="H38" s="24"/>
      <c r="I38" s="24"/>
      <c r="J38" s="29">
        <v>20466701</v>
      </c>
      <c r="K38" s="24"/>
      <c r="M38" s="54" t="s">
        <v>352</v>
      </c>
      <c r="N38" s="30" t="str">
        <f>N2</f>
        <v>IEC</v>
      </c>
      <c r="O38" s="113" t="str">
        <f>O2</f>
        <v>IEC</v>
      </c>
      <c r="P38" s="113" t="str">
        <f>P2</f>
        <v>IEEE C57.13</v>
      </c>
      <c r="Q38" s="114" t="str">
        <f>Q2</f>
        <v xml:space="preserve"> CAN/CSA</v>
      </c>
      <c r="AC38" s="54"/>
      <c r="AE38" s="9">
        <v>1950</v>
      </c>
      <c r="AF38" s="9">
        <v>2100</v>
      </c>
      <c r="AH38" s="50"/>
    </row>
    <row r="39" spans="1:34" x14ac:dyDescent="0.2">
      <c r="A39" s="9">
        <v>38</v>
      </c>
      <c r="B39" s="9" t="str">
        <f t="shared" si="0"/>
        <v>CTG800G03</v>
      </c>
      <c r="C39" s="29" t="s">
        <v>126</v>
      </c>
      <c r="D39" s="29" t="s">
        <v>920</v>
      </c>
      <c r="E39" s="251" t="s">
        <v>180</v>
      </c>
      <c r="F39" s="24"/>
      <c r="G39" s="251" t="s">
        <v>863</v>
      </c>
      <c r="H39" s="24"/>
      <c r="I39" s="24"/>
      <c r="J39" s="29">
        <v>20466702</v>
      </c>
      <c r="K39" s="24"/>
      <c r="M39" s="88">
        <v>2</v>
      </c>
      <c r="N39" s="9" t="str">
        <f t="shared" ref="N39:N44" si="11">IF(HLOOKUP($N$38,$O$38:$Q$44,M39,0)=0,"",HLOOKUP($N$38,$O$38:$Q$44,M39,0))</f>
        <v>1 A</v>
      </c>
      <c r="O39" s="25" t="s">
        <v>325</v>
      </c>
      <c r="P39" s="24"/>
      <c r="Q39" s="106"/>
      <c r="AC39" s="54"/>
      <c r="AE39" s="9">
        <v>2100</v>
      </c>
      <c r="AF39" s="9">
        <v>2400</v>
      </c>
      <c r="AH39" s="50"/>
    </row>
    <row r="40" spans="1:34" ht="15" thickBot="1" x14ac:dyDescent="0.25">
      <c r="A40" s="9">
        <v>39</v>
      </c>
      <c r="B40" s="9" t="str">
        <f t="shared" si="0"/>
        <v>CTG800G04</v>
      </c>
      <c r="C40" s="29" t="s">
        <v>127</v>
      </c>
      <c r="D40" s="29" t="s">
        <v>921</v>
      </c>
      <c r="E40" s="251" t="s">
        <v>112</v>
      </c>
      <c r="F40" s="24"/>
      <c r="G40" s="251" t="s">
        <v>1641</v>
      </c>
      <c r="H40" s="24"/>
      <c r="I40" s="24"/>
      <c r="J40" s="29">
        <v>20469801</v>
      </c>
      <c r="K40" s="24"/>
      <c r="M40" s="88">
        <v>3</v>
      </c>
      <c r="N40" s="9" t="str">
        <f t="shared" si="11"/>
        <v>5 A</v>
      </c>
      <c r="O40" s="25" t="s">
        <v>326</v>
      </c>
      <c r="P40" s="24"/>
      <c r="Q40" s="106"/>
      <c r="AC40" s="55"/>
      <c r="AD40" s="120"/>
      <c r="AE40" s="56">
        <v>2400</v>
      </c>
      <c r="AF40" s="120"/>
      <c r="AG40" s="120"/>
      <c r="AH40" s="46"/>
    </row>
    <row r="41" spans="1:34" x14ac:dyDescent="0.2">
      <c r="A41" s="9">
        <v>40</v>
      </c>
      <c r="B41" s="9" t="str">
        <f t="shared" si="0"/>
        <v>CTG800G04-1</v>
      </c>
      <c r="C41" s="29" t="s">
        <v>128</v>
      </c>
      <c r="D41" s="29" t="s">
        <v>837</v>
      </c>
      <c r="E41" s="251" t="s">
        <v>113</v>
      </c>
      <c r="F41" s="24"/>
      <c r="G41" s="251" t="s">
        <v>1642</v>
      </c>
      <c r="H41" s="24"/>
      <c r="I41" s="24"/>
      <c r="J41" s="29">
        <v>20469802</v>
      </c>
      <c r="K41" s="24"/>
      <c r="M41" s="88">
        <v>4</v>
      </c>
      <c r="N41" s="9" t="str">
        <f t="shared" si="11"/>
        <v>2x1 A</v>
      </c>
      <c r="O41" s="25" t="s">
        <v>327</v>
      </c>
      <c r="P41" s="24"/>
      <c r="Q41" s="106"/>
    </row>
    <row r="42" spans="1:34" x14ac:dyDescent="0.2">
      <c r="A42" s="9">
        <v>41</v>
      </c>
      <c r="B42" s="9" t="str">
        <f t="shared" si="0"/>
        <v>CTG800G05</v>
      </c>
      <c r="C42" s="29" t="s">
        <v>129</v>
      </c>
      <c r="D42" s="29" t="s">
        <v>838</v>
      </c>
      <c r="E42" s="251" t="s">
        <v>831</v>
      </c>
      <c r="F42" s="24"/>
      <c r="G42" s="251" t="s">
        <v>1522</v>
      </c>
      <c r="H42" s="24"/>
      <c r="I42" s="24"/>
      <c r="J42" s="29">
        <v>20469804</v>
      </c>
      <c r="K42" s="24"/>
      <c r="M42" s="88">
        <v>5</v>
      </c>
      <c r="N42" s="9" t="str">
        <f t="shared" si="11"/>
        <v>2A-1A-0,5 A</v>
      </c>
      <c r="O42" s="25" t="s">
        <v>329</v>
      </c>
      <c r="P42" s="24"/>
      <c r="Q42" s="106"/>
    </row>
    <row r="43" spans="1:34" x14ac:dyDescent="0.2">
      <c r="A43" s="9">
        <v>42</v>
      </c>
      <c r="B43" s="9" t="str">
        <f t="shared" si="0"/>
        <v>DCTG550G01</v>
      </c>
      <c r="C43" s="29" t="s">
        <v>1470</v>
      </c>
      <c r="D43" s="29" t="s">
        <v>1429</v>
      </c>
      <c r="E43" s="251" t="s">
        <v>832</v>
      </c>
      <c r="F43" s="24"/>
      <c r="G43" s="29" t="s">
        <v>1643</v>
      </c>
      <c r="H43" s="24"/>
      <c r="I43" s="24"/>
      <c r="J43" s="29">
        <v>20469805</v>
      </c>
      <c r="K43" s="24"/>
      <c r="M43" s="88">
        <v>6</v>
      </c>
      <c r="N43" s="9" t="str">
        <f t="shared" si="11"/>
        <v>2 A</v>
      </c>
      <c r="O43" s="25" t="s">
        <v>328</v>
      </c>
      <c r="P43" s="24"/>
      <c r="Q43" s="106"/>
    </row>
    <row r="44" spans="1:34" ht="15" thickBot="1" x14ac:dyDescent="0.25">
      <c r="A44" s="9">
        <v>43</v>
      </c>
      <c r="B44" s="9" t="str">
        <f t="shared" si="0"/>
        <v>DCTG550G03</v>
      </c>
      <c r="C44" s="29" t="s">
        <v>177</v>
      </c>
      <c r="D44" s="29" t="s">
        <v>839</v>
      </c>
      <c r="E44" s="251" t="s">
        <v>120</v>
      </c>
      <c r="F44" s="24"/>
      <c r="G44" s="29" t="s">
        <v>1524</v>
      </c>
      <c r="H44" s="24"/>
      <c r="I44" s="24"/>
      <c r="J44" s="29">
        <v>20469806</v>
      </c>
      <c r="K44" s="24"/>
      <c r="M44" s="90">
        <v>7</v>
      </c>
      <c r="N44" s="56" t="str">
        <f t="shared" si="11"/>
        <v/>
      </c>
      <c r="O44" s="99"/>
      <c r="P44" s="99"/>
      <c r="Q44" s="100"/>
    </row>
    <row r="45" spans="1:34" ht="15" x14ac:dyDescent="0.2">
      <c r="A45" s="9">
        <v>44</v>
      </c>
      <c r="B45" s="9" t="str">
        <f t="shared" si="0"/>
        <v>DCTG800G04-001</v>
      </c>
      <c r="C45" s="29" t="s">
        <v>1471</v>
      </c>
      <c r="D45" s="29" t="s">
        <v>840</v>
      </c>
      <c r="E45" s="251" t="s">
        <v>121</v>
      </c>
      <c r="F45" s="24"/>
      <c r="G45" s="29" t="s">
        <v>1644</v>
      </c>
      <c r="H45" s="24"/>
      <c r="I45" s="24"/>
      <c r="J45" s="29">
        <v>20483901</v>
      </c>
      <c r="K45" s="24"/>
      <c r="T45" s="65"/>
    </row>
    <row r="46" spans="1:34" ht="15" thickBot="1" x14ac:dyDescent="0.25">
      <c r="A46" s="9">
        <v>45</v>
      </c>
      <c r="B46" s="9" t="str">
        <f t="shared" si="0"/>
        <v>CTG123-010-008</v>
      </c>
      <c r="C46" s="29" t="s">
        <v>866</v>
      </c>
      <c r="D46" s="29" t="s">
        <v>841</v>
      </c>
      <c r="E46" s="251" t="s">
        <v>135</v>
      </c>
      <c r="F46" s="24"/>
      <c r="G46" s="29" t="s">
        <v>1645</v>
      </c>
      <c r="H46" s="24"/>
      <c r="I46" s="24"/>
      <c r="J46" s="29">
        <v>20483902</v>
      </c>
      <c r="K46" s="24"/>
      <c r="Y46" s="2" t="s">
        <v>1420</v>
      </c>
    </row>
    <row r="47" spans="1:34" x14ac:dyDescent="0.2">
      <c r="A47" s="9">
        <v>46</v>
      </c>
      <c r="B47" s="9" t="str">
        <f t="shared" si="0"/>
        <v>CTG145-010-0175</v>
      </c>
      <c r="C47" s="29" t="s">
        <v>69</v>
      </c>
      <c r="D47" s="29" t="s">
        <v>1516</v>
      </c>
      <c r="E47" s="251" t="s">
        <v>864</v>
      </c>
      <c r="F47" s="24"/>
      <c r="G47" s="29" t="s">
        <v>1646</v>
      </c>
      <c r="H47" s="24"/>
      <c r="I47" s="24"/>
      <c r="J47" s="29">
        <v>20483903</v>
      </c>
      <c r="K47" s="24"/>
      <c r="M47" s="94"/>
      <c r="N47" s="95"/>
      <c r="O47" s="854" t="s">
        <v>372</v>
      </c>
      <c r="P47" s="854"/>
      <c r="Q47" s="855"/>
    </row>
    <row r="48" spans="1:34" x14ac:dyDescent="0.2">
      <c r="A48" s="9">
        <v>47</v>
      </c>
      <c r="B48" s="9" t="str">
        <f t="shared" si="0"/>
        <v>CTG123-020-001</v>
      </c>
      <c r="C48" s="29" t="s">
        <v>867</v>
      </c>
      <c r="D48" s="29" t="s">
        <v>842</v>
      </c>
      <c r="E48" s="251" t="s">
        <v>1441</v>
      </c>
      <c r="F48" s="24"/>
      <c r="G48" s="29" t="s">
        <v>1647</v>
      </c>
      <c r="H48" s="24"/>
      <c r="I48" s="24"/>
      <c r="J48" s="29">
        <v>20483903</v>
      </c>
      <c r="K48" s="24"/>
      <c r="M48" s="54" t="s">
        <v>352</v>
      </c>
      <c r="N48" s="30" t="str">
        <f>N2</f>
        <v>IEC</v>
      </c>
      <c r="O48" s="113" t="str">
        <f>O2</f>
        <v>IEC</v>
      </c>
      <c r="P48" s="64" t="str">
        <f>P2</f>
        <v>IEEE C57.13</v>
      </c>
      <c r="Q48" s="96" t="str">
        <f>Q2</f>
        <v xml:space="preserve"> CAN/CSA</v>
      </c>
    </row>
    <row r="49" spans="1:17" x14ac:dyDescent="0.2">
      <c r="A49" s="9">
        <v>48</v>
      </c>
      <c r="B49" s="9" t="str">
        <f t="shared" si="0"/>
        <v>CTG123-020-010</v>
      </c>
      <c r="C49" s="29" t="s">
        <v>868</v>
      </c>
      <c r="D49" s="29" t="s">
        <v>99</v>
      </c>
      <c r="E49" s="251" t="s">
        <v>1442</v>
      </c>
      <c r="F49" s="24"/>
      <c r="G49" s="29" t="s">
        <v>1425</v>
      </c>
      <c r="H49" s="24"/>
      <c r="I49" s="24"/>
      <c r="J49" s="29">
        <v>20483904</v>
      </c>
      <c r="K49" s="24"/>
      <c r="M49" s="88">
        <v>2</v>
      </c>
      <c r="N49" s="9" t="str">
        <f t="shared" ref="N49:N56" si="12">IF(HLOOKUP($N$48,$O$48:$Q$56,M49,0)=0,"",HLOOKUP($N$48,$O$48:$Q$56,M49,0))</f>
        <v/>
      </c>
      <c r="O49" s="64"/>
      <c r="P49" s="64"/>
      <c r="Q49" s="96"/>
    </row>
    <row r="50" spans="1:17" x14ac:dyDescent="0.2">
      <c r="A50" s="9">
        <v>49</v>
      </c>
      <c r="B50" s="9" t="str">
        <f t="shared" si="0"/>
        <v>CTG145-040-004</v>
      </c>
      <c r="C50" s="29" t="s">
        <v>869</v>
      </c>
      <c r="D50" s="29" t="s">
        <v>843</v>
      </c>
      <c r="E50" s="251" t="s">
        <v>888</v>
      </c>
      <c r="F50" s="24"/>
      <c r="G50" s="29" t="s">
        <v>928</v>
      </c>
      <c r="H50" s="24"/>
      <c r="I50" s="24"/>
      <c r="J50" s="29">
        <v>20483905</v>
      </c>
      <c r="K50" s="24"/>
      <c r="M50" s="88">
        <v>3</v>
      </c>
      <c r="N50" s="9">
        <f t="shared" si="12"/>
        <v>1</v>
      </c>
      <c r="O50" s="25">
        <v>1</v>
      </c>
      <c r="P50" s="25">
        <v>1</v>
      </c>
      <c r="Q50" s="97">
        <v>1</v>
      </c>
    </row>
    <row r="51" spans="1:17" x14ac:dyDescent="0.2">
      <c r="A51" s="9">
        <v>50</v>
      </c>
      <c r="B51" s="9" t="str">
        <f t="shared" si="0"/>
        <v>CTG145-040-008</v>
      </c>
      <c r="C51" s="29" t="s">
        <v>870</v>
      </c>
      <c r="D51" s="29" t="s">
        <v>1486</v>
      </c>
      <c r="E51" s="251" t="s">
        <v>889</v>
      </c>
      <c r="F51" s="24"/>
      <c r="G51" s="29" t="s">
        <v>1648</v>
      </c>
      <c r="H51" s="24"/>
      <c r="I51" s="24"/>
      <c r="J51" s="29">
        <v>20483906</v>
      </c>
      <c r="K51" s="24"/>
      <c r="M51" s="88">
        <v>4</v>
      </c>
      <c r="N51" s="9">
        <f t="shared" si="12"/>
        <v>1.2</v>
      </c>
      <c r="O51" s="25">
        <v>1.2</v>
      </c>
      <c r="P51" s="25">
        <v>1.2</v>
      </c>
      <c r="Q51" s="97">
        <v>1.2</v>
      </c>
    </row>
    <row r="52" spans="1:17" x14ac:dyDescent="0.2">
      <c r="A52" s="9">
        <v>51</v>
      </c>
      <c r="B52" s="9" t="str">
        <f t="shared" si="0"/>
        <v>CTG362G04-001</v>
      </c>
      <c r="C52" s="29" t="s">
        <v>793</v>
      </c>
      <c r="D52" s="29" t="s">
        <v>1487</v>
      </c>
      <c r="E52" s="251" t="s">
        <v>1444</v>
      </c>
      <c r="F52" s="24"/>
      <c r="G52" s="29" t="s">
        <v>1649</v>
      </c>
      <c r="H52" s="24"/>
      <c r="I52" s="24"/>
      <c r="J52" s="29">
        <v>20483907</v>
      </c>
      <c r="K52" s="24"/>
      <c r="M52" s="88">
        <v>5</v>
      </c>
      <c r="N52" s="9">
        <f t="shared" si="12"/>
        <v>1.5</v>
      </c>
      <c r="O52" s="25">
        <v>1.5</v>
      </c>
      <c r="P52" s="74">
        <v>1.33</v>
      </c>
      <c r="Q52" s="98">
        <v>1.33</v>
      </c>
    </row>
    <row r="53" spans="1:17" x14ac:dyDescent="0.2">
      <c r="A53" s="9">
        <v>52</v>
      </c>
      <c r="B53" s="9" t="str">
        <f t="shared" si="0"/>
        <v>CTG362G11-001</v>
      </c>
      <c r="C53" s="29" t="s">
        <v>794</v>
      </c>
      <c r="D53" s="29" t="s">
        <v>1488</v>
      </c>
      <c r="E53" s="251" t="s">
        <v>890</v>
      </c>
      <c r="F53" s="24"/>
      <c r="G53" s="29" t="s">
        <v>1650</v>
      </c>
      <c r="H53" s="24"/>
      <c r="I53" s="24"/>
      <c r="J53" s="29">
        <v>20483908</v>
      </c>
      <c r="K53" s="24"/>
      <c r="M53" s="88">
        <v>6</v>
      </c>
      <c r="N53" s="9">
        <f t="shared" si="12"/>
        <v>2</v>
      </c>
      <c r="O53" s="25">
        <v>2</v>
      </c>
      <c r="P53" s="25">
        <v>1.5</v>
      </c>
      <c r="Q53" s="97">
        <v>1.5</v>
      </c>
    </row>
    <row r="54" spans="1:17" x14ac:dyDescent="0.2">
      <c r="A54" s="9">
        <v>53</v>
      </c>
      <c r="B54" s="9" t="str">
        <f t="shared" si="0"/>
        <v>CTG362G11-002</v>
      </c>
      <c r="C54" s="29" t="s">
        <v>795</v>
      </c>
      <c r="D54" s="29" t="s">
        <v>844</v>
      </c>
      <c r="E54" s="251" t="s">
        <v>1443</v>
      </c>
      <c r="F54" s="24"/>
      <c r="G54" s="29" t="s">
        <v>1651</v>
      </c>
      <c r="H54" s="24"/>
      <c r="I54" s="24"/>
      <c r="J54" s="29">
        <v>20483909</v>
      </c>
      <c r="K54" s="24"/>
      <c r="M54" s="88">
        <v>7</v>
      </c>
      <c r="N54" s="9">
        <f t="shared" si="12"/>
        <v>2.4</v>
      </c>
      <c r="O54" s="25">
        <v>2.4</v>
      </c>
      <c r="P54" s="25">
        <v>2</v>
      </c>
      <c r="Q54" s="97">
        <v>2</v>
      </c>
    </row>
    <row r="55" spans="1:17" x14ac:dyDescent="0.2">
      <c r="A55" s="9">
        <v>54</v>
      </c>
      <c r="B55" s="9" t="str">
        <f t="shared" si="0"/>
        <v>CTG420G11-009</v>
      </c>
      <c r="C55" s="29" t="s">
        <v>815</v>
      </c>
      <c r="D55" s="29" t="s">
        <v>845</v>
      </c>
      <c r="E55" s="251" t="s">
        <v>1445</v>
      </c>
      <c r="F55" s="24"/>
      <c r="G55" s="29" t="s">
        <v>1652</v>
      </c>
      <c r="H55" s="24"/>
      <c r="I55" s="24"/>
      <c r="J55" s="29">
        <v>20483910</v>
      </c>
      <c r="K55" s="24"/>
      <c r="M55" s="88">
        <v>8</v>
      </c>
      <c r="N55" s="9" t="str">
        <f t="shared" si="12"/>
        <v/>
      </c>
      <c r="O55" s="24"/>
      <c r="P55" s="25">
        <v>2.4</v>
      </c>
      <c r="Q55" s="97">
        <v>2.4</v>
      </c>
    </row>
    <row r="56" spans="1:17" ht="15" thickBot="1" x14ac:dyDescent="0.25">
      <c r="A56" s="9">
        <v>55</v>
      </c>
      <c r="B56" s="9" t="str">
        <f t="shared" si="0"/>
        <v>CTG420-040-001</v>
      </c>
      <c r="C56" s="29" t="s">
        <v>796</v>
      </c>
      <c r="D56" s="29" t="s">
        <v>846</v>
      </c>
      <c r="E56" s="251" t="s">
        <v>891</v>
      </c>
      <c r="F56" s="24"/>
      <c r="G56" s="29" t="s">
        <v>1653</v>
      </c>
      <c r="H56" s="24"/>
      <c r="I56" s="24"/>
      <c r="J56" s="29">
        <v>20483911</v>
      </c>
      <c r="K56" s="24"/>
      <c r="M56" s="90">
        <v>9</v>
      </c>
      <c r="N56" s="56" t="str">
        <f t="shared" si="12"/>
        <v/>
      </c>
      <c r="O56" s="99"/>
      <c r="P56" s="91">
        <v>2.5</v>
      </c>
      <c r="Q56" s="100">
        <v>2.5</v>
      </c>
    </row>
    <row r="57" spans="1:17" x14ac:dyDescent="0.2">
      <c r="A57" s="9">
        <v>56</v>
      </c>
      <c r="B57" s="9" t="str">
        <f t="shared" si="0"/>
        <v>CTG420-040-002</v>
      </c>
      <c r="C57" s="29" t="s">
        <v>797</v>
      </c>
      <c r="D57" s="29" t="s">
        <v>847</v>
      </c>
      <c r="E57" s="251" t="s">
        <v>1449</v>
      </c>
      <c r="F57" s="24"/>
      <c r="G57" s="29" t="s">
        <v>1654</v>
      </c>
      <c r="H57" s="24"/>
      <c r="I57" s="24"/>
      <c r="J57" s="29">
        <v>20483912</v>
      </c>
      <c r="K57" s="24"/>
    </row>
    <row r="58" spans="1:17" x14ac:dyDescent="0.2">
      <c r="A58" s="9">
        <v>57</v>
      </c>
      <c r="B58" s="9" t="str">
        <f t="shared" si="0"/>
        <v>CTG420-040-003</v>
      </c>
      <c r="C58" s="29" t="s">
        <v>798</v>
      </c>
      <c r="D58" s="29" t="s">
        <v>848</v>
      </c>
      <c r="E58" s="251" t="s">
        <v>1606</v>
      </c>
      <c r="F58" s="24"/>
      <c r="G58" s="29" t="s">
        <v>1655</v>
      </c>
      <c r="H58" s="24"/>
      <c r="I58" s="24"/>
      <c r="J58" s="29">
        <v>20483913</v>
      </c>
      <c r="K58" s="24"/>
    </row>
    <row r="59" spans="1:17" x14ac:dyDescent="0.2">
      <c r="A59" s="9">
        <v>58</v>
      </c>
      <c r="B59" s="9" t="str">
        <f t="shared" si="0"/>
        <v>CTG420-040-004</v>
      </c>
      <c r="C59" s="29" t="s">
        <v>1104</v>
      </c>
      <c r="D59" s="29" t="s">
        <v>849</v>
      </c>
      <c r="E59" s="251" t="s">
        <v>1446</v>
      </c>
      <c r="F59" s="24"/>
      <c r="G59" s="29" t="s">
        <v>1656</v>
      </c>
      <c r="H59" s="24"/>
      <c r="I59" s="24"/>
      <c r="J59" s="29">
        <v>20483914</v>
      </c>
      <c r="K59" s="24"/>
    </row>
    <row r="60" spans="1:17" x14ac:dyDescent="0.2">
      <c r="A60" s="9">
        <v>59</v>
      </c>
      <c r="B60" s="9" t="str">
        <f t="shared" si="0"/>
        <v>CTG420-040-005</v>
      </c>
      <c r="C60" s="29" t="s">
        <v>1102</v>
      </c>
      <c r="D60" s="29" t="s">
        <v>850</v>
      </c>
      <c r="E60" s="251" t="s">
        <v>1447</v>
      </c>
      <c r="F60" s="24"/>
      <c r="G60" s="29" t="s">
        <v>1657</v>
      </c>
      <c r="H60" s="24"/>
      <c r="I60" s="24"/>
      <c r="J60" s="29">
        <v>20483915</v>
      </c>
      <c r="K60" s="24"/>
    </row>
    <row r="61" spans="1:17" x14ac:dyDescent="0.2">
      <c r="A61" s="9">
        <v>60</v>
      </c>
      <c r="B61" s="9" t="str">
        <f t="shared" si="0"/>
        <v>CTG420-040-006</v>
      </c>
      <c r="C61" s="29" t="s">
        <v>1105</v>
      </c>
      <c r="D61" s="29" t="s">
        <v>114</v>
      </c>
      <c r="E61" s="251" t="s">
        <v>1448</v>
      </c>
      <c r="F61" s="24"/>
      <c r="G61" s="29" t="s">
        <v>1422</v>
      </c>
      <c r="H61" s="24"/>
      <c r="I61" s="24"/>
      <c r="J61" s="29">
        <v>20483915</v>
      </c>
      <c r="K61" s="24"/>
    </row>
    <row r="62" spans="1:17" x14ac:dyDescent="0.2">
      <c r="A62" s="9">
        <v>61</v>
      </c>
      <c r="B62" s="9" t="str">
        <f t="shared" si="0"/>
        <v>CTG420-040-007</v>
      </c>
      <c r="C62" s="29" t="s">
        <v>1106</v>
      </c>
      <c r="D62" s="29" t="s">
        <v>115</v>
      </c>
      <c r="E62" s="251"/>
      <c r="F62" s="24"/>
      <c r="G62" s="29" t="s">
        <v>1658</v>
      </c>
      <c r="H62" s="24"/>
      <c r="I62" s="24"/>
      <c r="J62" s="29">
        <v>20483916</v>
      </c>
      <c r="K62" s="24"/>
    </row>
    <row r="63" spans="1:17" x14ac:dyDescent="0.2">
      <c r="A63" s="9">
        <v>62</v>
      </c>
      <c r="B63" s="9" t="str">
        <f t="shared" si="0"/>
        <v>CTG420-040-008</v>
      </c>
      <c r="C63" s="29" t="s">
        <v>1489</v>
      </c>
      <c r="D63" s="29" t="s">
        <v>851</v>
      </c>
      <c r="E63" s="251"/>
      <c r="F63" s="24"/>
      <c r="G63" s="29" t="s">
        <v>1659</v>
      </c>
      <c r="H63" s="24"/>
      <c r="I63" s="24"/>
      <c r="J63" s="29">
        <v>20483917</v>
      </c>
      <c r="K63" s="24"/>
    </row>
    <row r="64" spans="1:17" x14ac:dyDescent="0.2">
      <c r="A64" s="9">
        <v>63</v>
      </c>
      <c r="B64" s="9" t="str">
        <f t="shared" si="0"/>
        <v>CTG420-040-009</v>
      </c>
      <c r="C64" s="29" t="s">
        <v>1490</v>
      </c>
      <c r="D64" s="29" t="s">
        <v>122</v>
      </c>
      <c r="E64" s="251"/>
      <c r="F64" s="24"/>
      <c r="G64" s="29" t="s">
        <v>1595</v>
      </c>
      <c r="H64" s="24"/>
      <c r="I64" s="24"/>
      <c r="J64" s="29">
        <v>20483918</v>
      </c>
      <c r="K64" s="24"/>
    </row>
    <row r="65" spans="1:11" x14ac:dyDescent="0.2">
      <c r="A65" s="9">
        <v>64</v>
      </c>
      <c r="B65" s="9" t="str">
        <f t="shared" si="0"/>
        <v>CTG420-050-001</v>
      </c>
      <c r="C65" s="29" t="s">
        <v>799</v>
      </c>
      <c r="D65" s="29" t="s">
        <v>123</v>
      </c>
      <c r="E65" s="251"/>
      <c r="F65" s="24"/>
      <c r="G65" s="29" t="s">
        <v>1660</v>
      </c>
      <c r="H65" s="24"/>
      <c r="I65" s="24"/>
      <c r="J65" s="29">
        <v>20501001</v>
      </c>
      <c r="K65" s="24"/>
    </row>
    <row r="66" spans="1:11" x14ac:dyDescent="0.2">
      <c r="A66" s="9">
        <v>65</v>
      </c>
      <c r="B66" s="9" t="str">
        <f t="shared" si="0"/>
        <v>CTG420-050-002</v>
      </c>
      <c r="C66" s="29" t="s">
        <v>800</v>
      </c>
      <c r="D66" s="29" t="s">
        <v>172</v>
      </c>
      <c r="E66" s="249"/>
      <c r="F66" s="24"/>
      <c r="G66" s="29" t="s">
        <v>1661</v>
      </c>
      <c r="H66" s="24"/>
      <c r="I66" s="24"/>
      <c r="J66" s="29">
        <v>20501002</v>
      </c>
      <c r="K66" s="24"/>
    </row>
    <row r="67" spans="1:11" x14ac:dyDescent="0.2">
      <c r="A67" s="9">
        <v>66</v>
      </c>
      <c r="B67" s="9" t="str">
        <f t="shared" si="0"/>
        <v>CTG420-050-005</v>
      </c>
      <c r="C67" s="29" t="s">
        <v>801</v>
      </c>
      <c r="D67" s="29" t="s">
        <v>136</v>
      </c>
      <c r="E67" s="249"/>
      <c r="F67" s="24"/>
      <c r="G67" s="29" t="s">
        <v>1662</v>
      </c>
      <c r="H67" s="24"/>
      <c r="I67" s="24"/>
      <c r="J67" s="29">
        <v>20501003</v>
      </c>
      <c r="K67" s="24"/>
    </row>
    <row r="68" spans="1:11" x14ac:dyDescent="0.2">
      <c r="A68" s="9">
        <v>67</v>
      </c>
      <c r="B68" s="9" t="str">
        <f t="shared" ref="B68:B131" si="13">IF(HLOOKUP($B$2,$C$2:$K$474,A68,0)=0,"",HLOOKUP($B$2,$C$2:$K$474,A68,0))</f>
        <v>CTG420-050-006</v>
      </c>
      <c r="C68" s="29" t="s">
        <v>802</v>
      </c>
      <c r="D68" s="29" t="s">
        <v>791</v>
      </c>
      <c r="E68" s="249"/>
      <c r="F68" s="24"/>
      <c r="G68" s="29" t="s">
        <v>1663</v>
      </c>
      <c r="H68" s="24"/>
      <c r="I68" s="24"/>
      <c r="J68" s="29">
        <v>20501003</v>
      </c>
      <c r="K68" s="24"/>
    </row>
    <row r="69" spans="1:11" x14ac:dyDescent="0.2">
      <c r="A69" s="9">
        <v>68</v>
      </c>
      <c r="B69" s="9" t="str">
        <f t="shared" si="13"/>
        <v>CTG420-050-007</v>
      </c>
      <c r="C69" s="29" t="s">
        <v>803</v>
      </c>
      <c r="D69" s="29" t="s">
        <v>792</v>
      </c>
      <c r="E69" s="249"/>
      <c r="F69" s="24"/>
      <c r="G69" s="29" t="s">
        <v>1664</v>
      </c>
      <c r="H69" s="24"/>
      <c r="I69" s="24"/>
      <c r="J69" s="29">
        <v>20501004</v>
      </c>
      <c r="K69" s="24"/>
    </row>
    <row r="70" spans="1:11" x14ac:dyDescent="0.2">
      <c r="A70" s="9">
        <v>69</v>
      </c>
      <c r="B70" s="9" t="str">
        <f t="shared" si="13"/>
        <v>CTG420-050-008</v>
      </c>
      <c r="C70" s="29" t="s">
        <v>804</v>
      </c>
      <c r="D70" s="29"/>
      <c r="E70" s="249"/>
      <c r="F70" s="24"/>
      <c r="G70" s="29"/>
      <c r="H70" s="24"/>
      <c r="I70" s="24"/>
      <c r="J70" s="29">
        <v>20526601</v>
      </c>
      <c r="K70" s="24"/>
    </row>
    <row r="71" spans="1:11" x14ac:dyDescent="0.2">
      <c r="A71" s="9">
        <v>70</v>
      </c>
      <c r="B71" s="9" t="str">
        <f t="shared" si="13"/>
        <v>CTG420-050-009</v>
      </c>
      <c r="C71" s="29" t="s">
        <v>805</v>
      </c>
      <c r="D71" s="29"/>
      <c r="E71" s="249"/>
      <c r="F71" s="24"/>
      <c r="G71" s="29"/>
      <c r="H71" s="24"/>
      <c r="I71" s="24"/>
      <c r="J71" s="29">
        <v>20526602</v>
      </c>
      <c r="K71" s="24"/>
    </row>
    <row r="72" spans="1:11" x14ac:dyDescent="0.2">
      <c r="A72" s="9">
        <v>71</v>
      </c>
      <c r="B72" s="9" t="str">
        <f t="shared" si="13"/>
        <v>CTG420-050-010</v>
      </c>
      <c r="C72" s="29" t="s">
        <v>806</v>
      </c>
      <c r="D72" s="29"/>
      <c r="E72" s="24"/>
      <c r="F72" s="24"/>
      <c r="G72" s="29"/>
      <c r="H72" s="24"/>
      <c r="I72" s="24"/>
      <c r="J72" s="29">
        <v>20526603</v>
      </c>
      <c r="K72" s="24"/>
    </row>
    <row r="73" spans="1:11" x14ac:dyDescent="0.2">
      <c r="A73" s="9">
        <v>72</v>
      </c>
      <c r="B73" s="9" t="str">
        <f t="shared" si="13"/>
        <v>CTG420-050-011</v>
      </c>
      <c r="C73" s="29" t="s">
        <v>807</v>
      </c>
      <c r="D73" s="29"/>
      <c r="E73" s="24"/>
      <c r="F73" s="24"/>
      <c r="G73" s="29"/>
      <c r="H73" s="24"/>
      <c r="I73" s="24"/>
      <c r="J73" s="29">
        <v>20530701</v>
      </c>
      <c r="K73" s="24"/>
    </row>
    <row r="74" spans="1:11" x14ac:dyDescent="0.2">
      <c r="A74" s="9">
        <v>73</v>
      </c>
      <c r="B74" s="9" t="str">
        <f t="shared" si="13"/>
        <v>CTG420-050-012</v>
      </c>
      <c r="C74" s="29" t="s">
        <v>808</v>
      </c>
      <c r="D74" s="29"/>
      <c r="E74" s="24"/>
      <c r="F74" s="24"/>
      <c r="G74" s="29"/>
      <c r="H74" s="24"/>
      <c r="I74" s="24"/>
      <c r="J74" s="29">
        <v>20530702</v>
      </c>
      <c r="K74" s="24"/>
    </row>
    <row r="75" spans="1:11" x14ac:dyDescent="0.2">
      <c r="A75" s="9">
        <v>74</v>
      </c>
      <c r="B75" s="9" t="str">
        <f t="shared" si="13"/>
        <v>CTG420-050-013</v>
      </c>
      <c r="C75" s="29" t="s">
        <v>809</v>
      </c>
      <c r="D75" s="29"/>
      <c r="E75" s="24"/>
      <c r="F75" s="24"/>
      <c r="G75" s="29"/>
      <c r="H75" s="24"/>
      <c r="I75" s="24"/>
      <c r="J75" s="29">
        <v>20546501</v>
      </c>
      <c r="K75" s="24"/>
    </row>
    <row r="76" spans="1:11" x14ac:dyDescent="0.2">
      <c r="A76" s="9">
        <v>75</v>
      </c>
      <c r="B76" s="9" t="str">
        <f t="shared" si="13"/>
        <v>CTG420-050-014</v>
      </c>
      <c r="C76" s="29" t="s">
        <v>810</v>
      </c>
      <c r="D76" s="29"/>
      <c r="E76" s="24"/>
      <c r="F76" s="24"/>
      <c r="G76" s="29"/>
      <c r="H76" s="24"/>
      <c r="I76" s="24"/>
      <c r="J76" s="29">
        <v>20546502</v>
      </c>
      <c r="K76" s="24"/>
    </row>
    <row r="77" spans="1:11" x14ac:dyDescent="0.2">
      <c r="A77" s="9">
        <v>76</v>
      </c>
      <c r="B77" s="9" t="str">
        <f t="shared" si="13"/>
        <v>CTG550-061-001</v>
      </c>
      <c r="C77" s="29" t="s">
        <v>859</v>
      </c>
      <c r="D77" s="29"/>
      <c r="E77" s="24"/>
      <c r="F77" s="24"/>
      <c r="G77" s="29"/>
      <c r="H77" s="24"/>
      <c r="I77" s="24"/>
      <c r="J77" s="29">
        <v>20546503</v>
      </c>
      <c r="K77" s="24"/>
    </row>
    <row r="78" spans="1:11" x14ac:dyDescent="0.2">
      <c r="A78" s="9">
        <v>77</v>
      </c>
      <c r="B78" s="9" t="str">
        <f t="shared" si="13"/>
        <v>CTG800G04-001</v>
      </c>
      <c r="C78" s="29" t="s">
        <v>789</v>
      </c>
      <c r="D78" s="29"/>
      <c r="E78" s="24"/>
      <c r="F78" s="24"/>
      <c r="G78" s="29"/>
      <c r="H78" s="24"/>
      <c r="I78" s="24"/>
      <c r="J78" s="29">
        <v>20546504</v>
      </c>
      <c r="K78" s="24"/>
    </row>
    <row r="79" spans="1:11" x14ac:dyDescent="0.2">
      <c r="A79" s="9">
        <v>78</v>
      </c>
      <c r="B79" s="9" t="str">
        <f t="shared" si="13"/>
        <v>CTG800G05-001</v>
      </c>
      <c r="C79" s="29" t="s">
        <v>790</v>
      </c>
      <c r="D79" s="29"/>
      <c r="E79" s="24"/>
      <c r="F79" s="24"/>
      <c r="G79" s="29"/>
      <c r="H79" s="24"/>
      <c r="I79" s="24"/>
      <c r="J79" s="29">
        <v>20546505</v>
      </c>
      <c r="K79" s="24"/>
    </row>
    <row r="80" spans="1:11" x14ac:dyDescent="0.2">
      <c r="A80" s="9">
        <v>79</v>
      </c>
      <c r="B80" s="9" t="str">
        <f t="shared" si="13"/>
        <v>TAG072-T39</v>
      </c>
      <c r="C80" s="29" t="s">
        <v>872</v>
      </c>
      <c r="D80" s="29"/>
      <c r="E80" s="24"/>
      <c r="F80" s="24"/>
      <c r="G80" s="24"/>
      <c r="H80" s="24"/>
      <c r="I80" s="24"/>
      <c r="J80" s="29">
        <v>20546506</v>
      </c>
      <c r="K80" s="24"/>
    </row>
    <row r="81" spans="1:11" x14ac:dyDescent="0.2">
      <c r="A81" s="9">
        <v>80</v>
      </c>
      <c r="B81" s="9" t="str">
        <f t="shared" si="13"/>
        <v>TAG072-T40</v>
      </c>
      <c r="C81" s="29" t="s">
        <v>873</v>
      </c>
      <c r="D81" s="29"/>
      <c r="E81" s="24"/>
      <c r="F81" s="24"/>
      <c r="G81" s="24"/>
      <c r="H81" s="24"/>
      <c r="I81" s="24"/>
      <c r="J81" s="29">
        <v>20546507</v>
      </c>
      <c r="K81" s="24"/>
    </row>
    <row r="82" spans="1:11" x14ac:dyDescent="0.2">
      <c r="A82" s="9">
        <v>81</v>
      </c>
      <c r="B82" s="9" t="str">
        <f t="shared" si="13"/>
        <v>TAG072-T41</v>
      </c>
      <c r="C82" s="29" t="s">
        <v>874</v>
      </c>
      <c r="D82" s="29"/>
      <c r="E82" s="24"/>
      <c r="F82" s="24"/>
      <c r="G82" s="24"/>
      <c r="H82" s="24"/>
      <c r="I82" s="24"/>
      <c r="J82" s="29">
        <v>20546509</v>
      </c>
      <c r="K82" s="24"/>
    </row>
    <row r="83" spans="1:11" x14ac:dyDescent="0.2">
      <c r="A83" s="9">
        <v>82</v>
      </c>
      <c r="B83" s="9" t="str">
        <f t="shared" si="13"/>
        <v>TAG072-TXX</v>
      </c>
      <c r="C83" s="29" t="s">
        <v>875</v>
      </c>
      <c r="D83" s="29"/>
      <c r="E83" s="24"/>
      <c r="F83" s="24"/>
      <c r="G83" s="24"/>
      <c r="H83" s="24"/>
      <c r="I83" s="24"/>
      <c r="J83" s="29">
        <v>20546510</v>
      </c>
      <c r="K83" s="24"/>
    </row>
    <row r="84" spans="1:11" x14ac:dyDescent="0.2">
      <c r="A84" s="9">
        <v>83</v>
      </c>
      <c r="B84" s="9" t="str">
        <f t="shared" si="13"/>
        <v>TAG145P010-0160</v>
      </c>
      <c r="C84" s="29" t="s">
        <v>876</v>
      </c>
      <c r="D84" s="29"/>
      <c r="E84" s="24"/>
      <c r="F84" s="24"/>
      <c r="G84" s="24"/>
      <c r="H84" s="24"/>
      <c r="I84" s="24"/>
      <c r="J84" s="29">
        <v>20546511</v>
      </c>
      <c r="K84" s="24"/>
    </row>
    <row r="85" spans="1:11" x14ac:dyDescent="0.2">
      <c r="A85" s="9">
        <v>84</v>
      </c>
      <c r="B85" s="9" t="str">
        <f t="shared" si="13"/>
        <v>TAG145-T35</v>
      </c>
      <c r="C85" s="29" t="s">
        <v>877</v>
      </c>
      <c r="D85" s="29"/>
      <c r="E85" s="24"/>
      <c r="F85" s="24"/>
      <c r="G85" s="24"/>
      <c r="H85" s="24"/>
      <c r="I85" s="24"/>
      <c r="J85" s="29">
        <v>20546512</v>
      </c>
      <c r="K85" s="24"/>
    </row>
    <row r="86" spans="1:11" x14ac:dyDescent="0.2">
      <c r="A86" s="9">
        <v>85</v>
      </c>
      <c r="B86" s="9" t="str">
        <f t="shared" si="13"/>
        <v>TAG145-T36</v>
      </c>
      <c r="C86" s="29" t="s">
        <v>878</v>
      </c>
      <c r="D86" s="29"/>
      <c r="E86" s="24"/>
      <c r="F86" s="24"/>
      <c r="G86" s="24"/>
      <c r="H86" s="24"/>
      <c r="I86" s="24"/>
      <c r="J86" s="29">
        <v>20546513</v>
      </c>
      <c r="K86" s="24"/>
    </row>
    <row r="87" spans="1:11" x14ac:dyDescent="0.2">
      <c r="A87" s="9">
        <v>86</v>
      </c>
      <c r="B87" s="9" t="str">
        <f t="shared" si="13"/>
        <v>TAG145-T36-001</v>
      </c>
      <c r="C87" s="29" t="s">
        <v>879</v>
      </c>
      <c r="D87" s="29"/>
      <c r="E87" s="24"/>
      <c r="F87" s="24"/>
      <c r="G87" s="24"/>
      <c r="H87" s="24"/>
      <c r="I87" s="24"/>
      <c r="J87" s="29">
        <v>20546514</v>
      </c>
      <c r="K87" s="24"/>
    </row>
    <row r="88" spans="1:11" x14ac:dyDescent="0.2">
      <c r="A88" s="9">
        <v>87</v>
      </c>
      <c r="B88" s="9" t="str">
        <f t="shared" si="13"/>
        <v>TAG145-TXX</v>
      </c>
      <c r="C88" s="29" t="s">
        <v>880</v>
      </c>
      <c r="D88" s="29"/>
      <c r="E88" s="24"/>
      <c r="F88" s="24"/>
      <c r="G88" s="24"/>
      <c r="H88" s="24"/>
      <c r="I88" s="24"/>
      <c r="J88" s="29">
        <v>20546515</v>
      </c>
      <c r="K88" s="24"/>
    </row>
    <row r="89" spans="1:11" x14ac:dyDescent="0.2">
      <c r="A89" s="9">
        <v>88</v>
      </c>
      <c r="B89" s="9" t="str">
        <f t="shared" si="13"/>
        <v>TAG170P020-0160</v>
      </c>
      <c r="C89" s="29" t="s">
        <v>881</v>
      </c>
      <c r="D89" s="29"/>
      <c r="E89" s="24"/>
      <c r="F89" s="24"/>
      <c r="G89" s="24"/>
      <c r="H89" s="24"/>
      <c r="I89" s="24"/>
      <c r="J89" s="29">
        <v>20546516</v>
      </c>
      <c r="K89" s="24"/>
    </row>
    <row r="90" spans="1:11" x14ac:dyDescent="0.2">
      <c r="A90" s="9">
        <v>89</v>
      </c>
      <c r="B90" s="9" t="str">
        <f t="shared" si="13"/>
        <v>TAG170-T37</v>
      </c>
      <c r="C90" s="29" t="s">
        <v>882</v>
      </c>
      <c r="D90" s="29"/>
      <c r="E90" s="24"/>
      <c r="F90" s="24"/>
      <c r="G90" s="24"/>
      <c r="H90" s="24"/>
      <c r="I90" s="24"/>
      <c r="J90" s="29">
        <v>20546517</v>
      </c>
      <c r="K90" s="24"/>
    </row>
    <row r="91" spans="1:11" x14ac:dyDescent="0.2">
      <c r="A91" s="9">
        <v>90</v>
      </c>
      <c r="B91" s="9" t="str">
        <f t="shared" si="13"/>
        <v>TAG170-T37-001</v>
      </c>
      <c r="C91" s="29" t="s">
        <v>883</v>
      </c>
      <c r="D91" s="29"/>
      <c r="E91" s="24"/>
      <c r="F91" s="24"/>
      <c r="G91" s="24"/>
      <c r="H91" s="24"/>
      <c r="I91" s="24"/>
      <c r="J91" s="29">
        <v>20573301</v>
      </c>
      <c r="K91" s="24"/>
    </row>
    <row r="92" spans="1:11" x14ac:dyDescent="0.2">
      <c r="A92" s="9">
        <v>91</v>
      </c>
      <c r="B92" s="9" t="str">
        <f t="shared" si="13"/>
        <v>TAG170-T38</v>
      </c>
      <c r="C92" s="29" t="s">
        <v>884</v>
      </c>
      <c r="D92" s="29"/>
      <c r="E92" s="24"/>
      <c r="F92" s="24"/>
      <c r="G92" s="24"/>
      <c r="H92" s="24"/>
      <c r="I92" s="24"/>
      <c r="J92" s="29">
        <v>20573302</v>
      </c>
      <c r="K92" s="24"/>
    </row>
    <row r="93" spans="1:11" x14ac:dyDescent="0.2">
      <c r="A93" s="9">
        <v>92</v>
      </c>
      <c r="B93" s="9" t="str">
        <f t="shared" si="13"/>
        <v>TAG170-T38-001</v>
      </c>
      <c r="C93" s="29" t="s">
        <v>885</v>
      </c>
      <c r="D93" s="29"/>
      <c r="E93" s="24"/>
      <c r="F93" s="24"/>
      <c r="G93" s="24"/>
      <c r="H93" s="24"/>
      <c r="I93" s="24"/>
      <c r="J93" s="29">
        <v>20573303</v>
      </c>
      <c r="K93" s="24"/>
    </row>
    <row r="94" spans="1:11" x14ac:dyDescent="0.2">
      <c r="A94" s="9">
        <v>93</v>
      </c>
      <c r="B94" s="9" t="str">
        <f t="shared" si="13"/>
        <v>TAG170-TXX</v>
      </c>
      <c r="C94" s="29" t="s">
        <v>1590</v>
      </c>
      <c r="D94" s="29"/>
      <c r="E94" s="24"/>
      <c r="F94" s="24"/>
      <c r="G94" s="24"/>
      <c r="H94" s="24"/>
      <c r="I94" s="24"/>
      <c r="J94" s="29">
        <v>20573304</v>
      </c>
      <c r="K94" s="24"/>
    </row>
    <row r="95" spans="1:11" x14ac:dyDescent="0.2">
      <c r="A95" s="9">
        <v>94</v>
      </c>
      <c r="B95" s="9" t="str">
        <f t="shared" si="13"/>
        <v>TAG245-T33</v>
      </c>
      <c r="C95" s="29" t="s">
        <v>819</v>
      </c>
      <c r="D95" s="29"/>
      <c r="E95" s="24"/>
      <c r="F95" s="24"/>
      <c r="G95" s="24"/>
      <c r="H95" s="24"/>
      <c r="I95" s="24"/>
      <c r="J95" s="29">
        <v>20573305</v>
      </c>
      <c r="K95" s="24"/>
    </row>
    <row r="96" spans="1:11" x14ac:dyDescent="0.2">
      <c r="A96" s="9">
        <v>95</v>
      </c>
      <c r="B96" s="9" t="str">
        <f t="shared" si="13"/>
        <v>TAG245-TXX</v>
      </c>
      <c r="C96" s="29" t="s">
        <v>1591</v>
      </c>
      <c r="D96" s="29"/>
      <c r="E96" s="24"/>
      <c r="F96" s="24"/>
      <c r="G96" s="24"/>
      <c r="H96" s="24"/>
      <c r="I96" s="24"/>
      <c r="J96" s="29">
        <v>20575101</v>
      </c>
      <c r="K96" s="24"/>
    </row>
    <row r="97" spans="1:11" x14ac:dyDescent="0.2">
      <c r="A97" s="9">
        <v>96</v>
      </c>
      <c r="B97" s="9" t="str">
        <f t="shared" si="13"/>
        <v>TAG420-T31</v>
      </c>
      <c r="C97" s="29" t="s">
        <v>820</v>
      </c>
      <c r="D97" s="29"/>
      <c r="E97" s="24"/>
      <c r="F97" s="24"/>
      <c r="G97" s="24"/>
      <c r="H97" s="24"/>
      <c r="I97" s="24"/>
      <c r="J97" s="29">
        <v>20575102</v>
      </c>
      <c r="K97" s="24"/>
    </row>
    <row r="98" spans="1:11" x14ac:dyDescent="0.2">
      <c r="A98" s="9">
        <v>97</v>
      </c>
      <c r="B98" s="9" t="str">
        <f t="shared" si="13"/>
        <v>TAG420-T31-001</v>
      </c>
      <c r="C98" s="29" t="s">
        <v>821</v>
      </c>
      <c r="D98" s="29"/>
      <c r="E98" s="24"/>
      <c r="F98" s="24"/>
      <c r="G98" s="24"/>
      <c r="H98" s="24"/>
      <c r="I98" s="24"/>
      <c r="J98" s="29">
        <v>20575103</v>
      </c>
      <c r="K98" s="24"/>
    </row>
    <row r="99" spans="1:11" x14ac:dyDescent="0.2">
      <c r="A99" s="9">
        <v>98</v>
      </c>
      <c r="B99" s="9" t="str">
        <f t="shared" si="13"/>
        <v>TAG420-T32</v>
      </c>
      <c r="C99" s="29" t="s">
        <v>822</v>
      </c>
      <c r="D99" s="29"/>
      <c r="E99" s="24"/>
      <c r="F99" s="24"/>
      <c r="G99" s="24"/>
      <c r="H99" s="24"/>
      <c r="I99" s="24"/>
      <c r="J99" s="29">
        <v>20589602</v>
      </c>
      <c r="K99" s="24"/>
    </row>
    <row r="100" spans="1:11" x14ac:dyDescent="0.2">
      <c r="A100" s="9">
        <v>99</v>
      </c>
      <c r="B100" s="9" t="str">
        <f t="shared" si="13"/>
        <v>TAG420-TXX</v>
      </c>
      <c r="C100" s="29" t="s">
        <v>823</v>
      </c>
      <c r="D100" s="29"/>
      <c r="E100" s="24"/>
      <c r="F100" s="24"/>
      <c r="G100" s="24"/>
      <c r="H100" s="24"/>
      <c r="I100" s="24"/>
      <c r="J100" s="29">
        <v>20589603</v>
      </c>
      <c r="K100" s="24"/>
    </row>
    <row r="101" spans="1:11" x14ac:dyDescent="0.2">
      <c r="A101" s="9">
        <v>100</v>
      </c>
      <c r="B101" s="9" t="str">
        <f t="shared" si="13"/>
        <v>CTA123-022-0250</v>
      </c>
      <c r="C101" s="29" t="s">
        <v>1458</v>
      </c>
      <c r="D101" s="29"/>
      <c r="E101" s="24"/>
      <c r="F101" s="24"/>
      <c r="G101" s="24"/>
      <c r="H101" s="24"/>
      <c r="I101" s="24"/>
      <c r="J101" s="29">
        <v>20589604</v>
      </c>
      <c r="K101" s="24"/>
    </row>
    <row r="102" spans="1:11" x14ac:dyDescent="0.2">
      <c r="A102" s="9">
        <v>101</v>
      </c>
      <c r="B102" s="9" t="str">
        <f t="shared" si="13"/>
        <v>CTA145-022-0250</v>
      </c>
      <c r="C102" s="29" t="s">
        <v>1460</v>
      </c>
      <c r="D102" s="29"/>
      <c r="E102" s="24"/>
      <c r="F102" s="24"/>
      <c r="G102" s="24"/>
      <c r="H102" s="24"/>
      <c r="I102" s="24"/>
      <c r="J102" s="29">
        <v>20590101</v>
      </c>
      <c r="K102" s="24"/>
    </row>
    <row r="103" spans="1:11" x14ac:dyDescent="0.2">
      <c r="A103" s="9">
        <v>102</v>
      </c>
      <c r="B103" s="9" t="str">
        <f t="shared" si="13"/>
        <v>CTA145-022-0185</v>
      </c>
      <c r="C103" s="29" t="s">
        <v>1459</v>
      </c>
      <c r="D103" s="29"/>
      <c r="E103" s="24"/>
      <c r="F103" s="24"/>
      <c r="G103" s="24"/>
      <c r="H103" s="24"/>
      <c r="I103" s="24"/>
      <c r="J103" s="29">
        <v>20594401</v>
      </c>
      <c r="K103" s="24"/>
    </row>
    <row r="104" spans="1:11" x14ac:dyDescent="0.2">
      <c r="A104" s="9">
        <v>103</v>
      </c>
      <c r="B104" s="9" t="str">
        <f t="shared" si="13"/>
        <v>CTA145-040-0300</v>
      </c>
      <c r="C104" s="29" t="s">
        <v>1457</v>
      </c>
      <c r="D104" s="29"/>
      <c r="E104" s="24"/>
      <c r="F104" s="24"/>
      <c r="G104" s="24"/>
      <c r="H104" s="24"/>
      <c r="I104" s="24"/>
      <c r="J104" s="29">
        <v>20599901</v>
      </c>
      <c r="K104" s="24"/>
    </row>
    <row r="105" spans="1:11" x14ac:dyDescent="0.2">
      <c r="A105" s="9">
        <v>104</v>
      </c>
      <c r="B105" s="9" t="str">
        <f t="shared" si="13"/>
        <v>CTA145-040-0390</v>
      </c>
      <c r="C105" s="29" t="s">
        <v>865</v>
      </c>
      <c r="D105" s="29"/>
      <c r="E105" s="24"/>
      <c r="F105" s="24"/>
      <c r="G105" s="24"/>
      <c r="H105" s="24"/>
      <c r="I105" s="24"/>
      <c r="J105" s="29">
        <v>20599901</v>
      </c>
      <c r="K105" s="24"/>
    </row>
    <row r="106" spans="1:11" x14ac:dyDescent="0.2">
      <c r="A106" s="9">
        <v>105</v>
      </c>
      <c r="B106" s="9" t="str">
        <f t="shared" si="13"/>
        <v>CTA170-022-0185</v>
      </c>
      <c r="C106" s="29" t="s">
        <v>1461</v>
      </c>
      <c r="D106" s="29"/>
      <c r="E106" s="24"/>
      <c r="F106" s="24"/>
      <c r="G106" s="24"/>
      <c r="H106" s="24"/>
      <c r="I106" s="24"/>
      <c r="J106" s="29">
        <v>20624201</v>
      </c>
      <c r="K106" s="24"/>
    </row>
    <row r="107" spans="1:11" x14ac:dyDescent="0.2">
      <c r="A107" s="9">
        <v>106</v>
      </c>
      <c r="B107" s="9" t="str">
        <f t="shared" si="13"/>
        <v>CTA245-041-0520</v>
      </c>
      <c r="C107" s="29" t="s">
        <v>1462</v>
      </c>
      <c r="D107" s="29"/>
      <c r="E107" s="24"/>
      <c r="F107" s="24"/>
      <c r="G107" s="24"/>
      <c r="H107" s="24"/>
      <c r="I107" s="24"/>
      <c r="J107" s="29">
        <v>20719802</v>
      </c>
      <c r="K107" s="24"/>
    </row>
    <row r="108" spans="1:11" x14ac:dyDescent="0.2">
      <c r="A108" s="9">
        <v>107</v>
      </c>
      <c r="B108" s="9" t="str">
        <f t="shared" si="13"/>
        <v>CTA362G05</v>
      </c>
      <c r="C108" s="29" t="s">
        <v>1463</v>
      </c>
      <c r="D108" s="29"/>
      <c r="E108" s="24"/>
      <c r="F108" s="24"/>
      <c r="G108" s="24"/>
      <c r="H108" s="24"/>
      <c r="I108" s="24"/>
      <c r="J108" s="29">
        <v>20719803</v>
      </c>
      <c r="K108" s="24"/>
    </row>
    <row r="109" spans="1:11" x14ac:dyDescent="0.2">
      <c r="A109" s="9">
        <v>108</v>
      </c>
      <c r="B109" s="9" t="str">
        <f t="shared" si="13"/>
        <v>CTA420G05</v>
      </c>
      <c r="C109" s="330" t="s">
        <v>1464</v>
      </c>
      <c r="D109" s="29"/>
      <c r="E109" s="24"/>
      <c r="F109" s="24"/>
      <c r="G109" s="24"/>
      <c r="H109" s="24"/>
      <c r="I109" s="24"/>
      <c r="J109" s="29">
        <v>20719806</v>
      </c>
      <c r="K109" s="24"/>
    </row>
    <row r="110" spans="1:11" x14ac:dyDescent="0.2">
      <c r="A110" s="9">
        <v>109</v>
      </c>
      <c r="B110" s="9" t="str">
        <f t="shared" si="13"/>
        <v>OCT420-01</v>
      </c>
      <c r="C110" s="29" t="s">
        <v>817</v>
      </c>
      <c r="D110" s="29"/>
      <c r="E110" s="24"/>
      <c r="F110" s="24"/>
      <c r="G110" s="24"/>
      <c r="H110" s="24"/>
      <c r="I110" s="24"/>
      <c r="J110" s="29">
        <v>20719807</v>
      </c>
      <c r="K110" s="24"/>
    </row>
    <row r="111" spans="1:11" x14ac:dyDescent="0.2">
      <c r="A111" s="9">
        <v>110</v>
      </c>
      <c r="B111" s="9" t="str">
        <f t="shared" si="13"/>
        <v>OCT245-01</v>
      </c>
      <c r="C111" s="29" t="s">
        <v>816</v>
      </c>
      <c r="D111" s="29"/>
      <c r="E111" s="24"/>
      <c r="F111" s="24"/>
      <c r="G111" s="24"/>
      <c r="H111" s="24"/>
      <c r="I111" s="24"/>
      <c r="J111" s="29">
        <v>20719810</v>
      </c>
      <c r="K111" s="24"/>
    </row>
    <row r="112" spans="1:11" x14ac:dyDescent="0.2">
      <c r="A112" s="9">
        <v>111</v>
      </c>
      <c r="B112" s="9" t="str">
        <f t="shared" si="13"/>
        <v>OCT145-01</v>
      </c>
      <c r="C112" s="29" t="s">
        <v>1570</v>
      </c>
      <c r="D112" s="29"/>
      <c r="E112" s="24"/>
      <c r="F112" s="24"/>
      <c r="G112" s="24"/>
      <c r="H112" s="24"/>
      <c r="I112" s="24"/>
      <c r="J112" s="29">
        <v>20719811</v>
      </c>
      <c r="K112" s="24"/>
    </row>
    <row r="113" spans="1:11" x14ac:dyDescent="0.2">
      <c r="A113" s="9">
        <v>112</v>
      </c>
      <c r="B113" s="23" t="s">
        <v>1816</v>
      </c>
      <c r="C113" s="29"/>
      <c r="D113" s="29"/>
      <c r="E113" s="24"/>
      <c r="F113" s="24"/>
      <c r="G113" s="24"/>
      <c r="H113" s="24"/>
      <c r="I113" s="24"/>
      <c r="J113" s="29">
        <v>20719812</v>
      </c>
      <c r="K113" s="24"/>
    </row>
    <row r="114" spans="1:11" x14ac:dyDescent="0.2">
      <c r="A114" s="9">
        <v>113</v>
      </c>
      <c r="B114" s="23" t="s">
        <v>1818</v>
      </c>
      <c r="C114" s="29"/>
      <c r="D114" s="29"/>
      <c r="E114" s="24"/>
      <c r="F114" s="24"/>
      <c r="G114" s="24"/>
      <c r="H114" s="24"/>
      <c r="I114" s="24"/>
      <c r="J114" s="29">
        <v>20719815</v>
      </c>
      <c r="K114" s="24"/>
    </row>
    <row r="115" spans="1:11" x14ac:dyDescent="0.2">
      <c r="A115" s="9">
        <v>114</v>
      </c>
      <c r="B115" s="23" t="s">
        <v>1819</v>
      </c>
      <c r="C115" s="29"/>
      <c r="D115" s="29"/>
      <c r="E115" s="24"/>
      <c r="F115" s="24"/>
      <c r="G115" s="24"/>
      <c r="H115" s="24"/>
      <c r="I115" s="24"/>
      <c r="J115" s="29">
        <v>20719816</v>
      </c>
      <c r="K115" s="24"/>
    </row>
    <row r="116" spans="1:11" x14ac:dyDescent="0.2">
      <c r="A116" s="9">
        <v>115</v>
      </c>
      <c r="B116" s="9" t="str">
        <f t="shared" si="13"/>
        <v/>
      </c>
      <c r="C116" s="29"/>
      <c r="D116" s="29"/>
      <c r="E116" s="24"/>
      <c r="F116" s="24"/>
      <c r="G116" s="24"/>
      <c r="H116" s="24"/>
      <c r="I116" s="24"/>
      <c r="J116" s="29">
        <v>20719817</v>
      </c>
      <c r="K116" s="24"/>
    </row>
    <row r="117" spans="1:11" x14ac:dyDescent="0.2">
      <c r="A117" s="9">
        <v>116</v>
      </c>
      <c r="B117" s="9" t="str">
        <f t="shared" si="13"/>
        <v/>
      </c>
      <c r="C117" s="29"/>
      <c r="D117" s="29"/>
      <c r="E117" s="24"/>
      <c r="F117" s="24"/>
      <c r="G117" s="24"/>
      <c r="H117" s="24"/>
      <c r="I117" s="24"/>
      <c r="J117" s="29">
        <v>20719818</v>
      </c>
      <c r="K117" s="24"/>
    </row>
    <row r="118" spans="1:11" x14ac:dyDescent="0.2">
      <c r="A118" s="9">
        <v>117</v>
      </c>
      <c r="B118" s="9" t="str">
        <f t="shared" si="13"/>
        <v/>
      </c>
      <c r="C118" s="29"/>
      <c r="D118" s="29"/>
      <c r="E118" s="24"/>
      <c r="F118" s="24"/>
      <c r="G118" s="24"/>
      <c r="H118" s="24"/>
      <c r="I118" s="24"/>
      <c r="J118" s="29">
        <v>20719819</v>
      </c>
      <c r="K118" s="24"/>
    </row>
    <row r="119" spans="1:11" x14ac:dyDescent="0.2">
      <c r="A119" s="9">
        <v>118</v>
      </c>
      <c r="B119" s="9" t="str">
        <f t="shared" si="13"/>
        <v/>
      </c>
      <c r="C119" s="29"/>
      <c r="D119" s="29"/>
      <c r="E119" s="24"/>
      <c r="F119" s="24"/>
      <c r="G119" s="24"/>
      <c r="H119" s="24"/>
      <c r="I119" s="24"/>
      <c r="J119" s="29">
        <v>20719820</v>
      </c>
      <c r="K119" s="24"/>
    </row>
    <row r="120" spans="1:11" x14ac:dyDescent="0.2">
      <c r="A120" s="9">
        <v>119</v>
      </c>
      <c r="B120" s="9" t="str">
        <f t="shared" si="13"/>
        <v/>
      </c>
      <c r="C120" s="29"/>
      <c r="D120" s="29"/>
      <c r="E120" s="24"/>
      <c r="F120" s="24"/>
      <c r="G120" s="24"/>
      <c r="H120" s="24"/>
      <c r="I120" s="24"/>
      <c r="J120" s="29">
        <v>20817601</v>
      </c>
      <c r="K120" s="24"/>
    </row>
    <row r="121" spans="1:11" x14ac:dyDescent="0.2">
      <c r="A121" s="9">
        <v>120</v>
      </c>
      <c r="B121" s="9" t="str">
        <f t="shared" si="13"/>
        <v/>
      </c>
      <c r="C121" s="29"/>
      <c r="D121" s="29"/>
      <c r="E121" s="24"/>
      <c r="F121" s="24"/>
      <c r="G121" s="24"/>
      <c r="H121" s="24"/>
      <c r="I121" s="24"/>
      <c r="J121" s="29">
        <v>20835201</v>
      </c>
      <c r="K121" s="24"/>
    </row>
    <row r="122" spans="1:11" x14ac:dyDescent="0.2">
      <c r="A122" s="9">
        <v>121</v>
      </c>
      <c r="B122" s="9" t="str">
        <f t="shared" si="13"/>
        <v/>
      </c>
      <c r="C122" s="29"/>
      <c r="D122" s="29"/>
      <c r="E122" s="24"/>
      <c r="F122" s="24"/>
      <c r="G122" s="24"/>
      <c r="H122" s="24"/>
      <c r="I122" s="24"/>
      <c r="J122" s="29">
        <v>20836301</v>
      </c>
      <c r="K122" s="24"/>
    </row>
    <row r="123" spans="1:11" x14ac:dyDescent="0.2">
      <c r="A123" s="9">
        <v>122</v>
      </c>
      <c r="B123" s="9" t="str">
        <f t="shared" si="13"/>
        <v/>
      </c>
      <c r="C123" s="29"/>
      <c r="D123" s="29"/>
      <c r="E123" s="24"/>
      <c r="F123" s="24"/>
      <c r="G123" s="24"/>
      <c r="H123" s="24"/>
      <c r="I123" s="24"/>
      <c r="J123" s="29">
        <v>20838301</v>
      </c>
      <c r="K123" s="24"/>
    </row>
    <row r="124" spans="1:11" x14ac:dyDescent="0.2">
      <c r="A124" s="9">
        <v>123</v>
      </c>
      <c r="B124" s="9" t="str">
        <f t="shared" si="13"/>
        <v/>
      </c>
      <c r="C124" s="29"/>
      <c r="D124" s="29"/>
      <c r="E124" s="24"/>
      <c r="F124" s="24"/>
      <c r="G124" s="24"/>
      <c r="H124" s="24"/>
      <c r="I124" s="24"/>
      <c r="J124" s="29">
        <v>20838301</v>
      </c>
      <c r="K124" s="24"/>
    </row>
    <row r="125" spans="1:11" x14ac:dyDescent="0.2">
      <c r="A125" s="9">
        <v>124</v>
      </c>
      <c r="B125" s="9" t="str">
        <f t="shared" si="13"/>
        <v/>
      </c>
      <c r="C125" s="29"/>
      <c r="D125" s="29"/>
      <c r="E125" s="24"/>
      <c r="F125" s="24"/>
      <c r="G125" s="24"/>
      <c r="H125" s="24"/>
      <c r="I125" s="24"/>
      <c r="J125" s="29">
        <v>20838302</v>
      </c>
      <c r="K125" s="24"/>
    </row>
    <row r="126" spans="1:11" x14ac:dyDescent="0.2">
      <c r="A126" s="9">
        <v>125</v>
      </c>
      <c r="B126" s="9" t="str">
        <f t="shared" si="13"/>
        <v/>
      </c>
      <c r="C126" s="29"/>
      <c r="D126" s="29"/>
      <c r="E126" s="24"/>
      <c r="F126" s="24"/>
      <c r="G126" s="24"/>
      <c r="H126" s="24"/>
      <c r="I126" s="24"/>
      <c r="J126" s="29">
        <v>20838303</v>
      </c>
      <c r="K126" s="24"/>
    </row>
    <row r="127" spans="1:11" x14ac:dyDescent="0.2">
      <c r="A127" s="9">
        <v>126</v>
      </c>
      <c r="B127" s="9" t="str">
        <f t="shared" si="13"/>
        <v/>
      </c>
      <c r="C127" s="29"/>
      <c r="D127" s="29"/>
      <c r="E127" s="24"/>
      <c r="F127" s="24"/>
      <c r="G127" s="24"/>
      <c r="H127" s="24"/>
      <c r="I127" s="24"/>
      <c r="J127" s="29">
        <v>20838304</v>
      </c>
      <c r="K127" s="24"/>
    </row>
    <row r="128" spans="1:11" x14ac:dyDescent="0.2">
      <c r="A128" s="9">
        <v>127</v>
      </c>
      <c r="B128" s="9" t="str">
        <f t="shared" si="13"/>
        <v/>
      </c>
      <c r="C128" s="29"/>
      <c r="D128" s="29"/>
      <c r="E128" s="24"/>
      <c r="F128" s="24"/>
      <c r="G128" s="24"/>
      <c r="H128" s="24"/>
      <c r="I128" s="24"/>
      <c r="J128" s="29">
        <v>20838305</v>
      </c>
      <c r="K128" s="24"/>
    </row>
    <row r="129" spans="1:11" x14ac:dyDescent="0.2">
      <c r="A129" s="9">
        <v>128</v>
      </c>
      <c r="B129" s="9" t="str">
        <f t="shared" si="13"/>
        <v/>
      </c>
      <c r="C129" s="29"/>
      <c r="D129" s="29"/>
      <c r="E129" s="24"/>
      <c r="F129" s="24"/>
      <c r="G129" s="24"/>
      <c r="H129" s="24"/>
      <c r="I129" s="24"/>
      <c r="J129" s="29">
        <v>20838306</v>
      </c>
      <c r="K129" s="24"/>
    </row>
    <row r="130" spans="1:11" x14ac:dyDescent="0.2">
      <c r="A130" s="9">
        <v>129</v>
      </c>
      <c r="B130" s="9" t="str">
        <f t="shared" si="13"/>
        <v/>
      </c>
      <c r="C130" s="29"/>
      <c r="D130" s="29"/>
      <c r="E130" s="24"/>
      <c r="F130" s="24"/>
      <c r="G130" s="24"/>
      <c r="H130" s="24"/>
      <c r="I130" s="24"/>
      <c r="J130" s="29">
        <v>20838307</v>
      </c>
      <c r="K130" s="24"/>
    </row>
    <row r="131" spans="1:11" x14ac:dyDescent="0.2">
      <c r="A131" s="9">
        <v>130</v>
      </c>
      <c r="B131" s="9" t="str">
        <f t="shared" si="13"/>
        <v/>
      </c>
      <c r="C131" s="29"/>
      <c r="D131" s="29"/>
      <c r="E131" s="24"/>
      <c r="F131" s="24"/>
      <c r="G131" s="24"/>
      <c r="H131" s="24"/>
      <c r="I131" s="24"/>
      <c r="J131" s="29">
        <v>20838308</v>
      </c>
      <c r="K131" s="24"/>
    </row>
    <row r="132" spans="1:11" x14ac:dyDescent="0.2">
      <c r="A132" s="9">
        <v>131</v>
      </c>
      <c r="B132" s="9" t="str">
        <f t="shared" ref="B132:B195" si="14">IF(HLOOKUP($B$2,$C$2:$K$474,A132,0)=0,"",HLOOKUP($B$2,$C$2:$K$474,A132,0))</f>
        <v/>
      </c>
      <c r="C132" s="29"/>
      <c r="D132" s="29"/>
      <c r="E132" s="24"/>
      <c r="F132" s="24"/>
      <c r="G132" s="24"/>
      <c r="H132" s="24"/>
      <c r="I132" s="24"/>
      <c r="J132" s="29">
        <v>20838309</v>
      </c>
      <c r="K132" s="24"/>
    </row>
    <row r="133" spans="1:11" x14ac:dyDescent="0.2">
      <c r="A133" s="9">
        <v>132</v>
      </c>
      <c r="B133" s="9" t="str">
        <f t="shared" si="14"/>
        <v/>
      </c>
      <c r="C133" s="29"/>
      <c r="D133" s="29"/>
      <c r="E133" s="24"/>
      <c r="F133" s="24"/>
      <c r="G133" s="24"/>
      <c r="H133" s="24"/>
      <c r="I133" s="24"/>
      <c r="J133" s="29">
        <v>20838310</v>
      </c>
      <c r="K133" s="24"/>
    </row>
    <row r="134" spans="1:11" x14ac:dyDescent="0.2">
      <c r="A134" s="9">
        <v>133</v>
      </c>
      <c r="B134" s="9" t="str">
        <f t="shared" si="14"/>
        <v/>
      </c>
      <c r="C134" s="29"/>
      <c r="D134" s="29"/>
      <c r="E134" s="24"/>
      <c r="F134" s="24"/>
      <c r="G134" s="24"/>
      <c r="H134" s="24"/>
      <c r="I134" s="24"/>
      <c r="J134" s="29">
        <v>20838311</v>
      </c>
      <c r="K134" s="24"/>
    </row>
    <row r="135" spans="1:11" x14ac:dyDescent="0.2">
      <c r="A135" s="9">
        <v>134</v>
      </c>
      <c r="B135" s="9" t="str">
        <f t="shared" si="14"/>
        <v/>
      </c>
      <c r="C135" s="29"/>
      <c r="D135" s="29"/>
      <c r="E135" s="24"/>
      <c r="F135" s="24"/>
      <c r="G135" s="24"/>
      <c r="H135" s="24"/>
      <c r="I135" s="24"/>
      <c r="J135" s="29">
        <v>20838312</v>
      </c>
      <c r="K135" s="24"/>
    </row>
    <row r="136" spans="1:11" x14ac:dyDescent="0.2">
      <c r="A136" s="9">
        <v>135</v>
      </c>
      <c r="B136" s="9" t="str">
        <f t="shared" si="14"/>
        <v/>
      </c>
      <c r="C136" s="29"/>
      <c r="D136" s="29"/>
      <c r="E136" s="24"/>
      <c r="F136" s="24"/>
      <c r="G136" s="24"/>
      <c r="H136" s="24"/>
      <c r="I136" s="24"/>
      <c r="J136" s="29">
        <v>20838313</v>
      </c>
      <c r="K136" s="24"/>
    </row>
    <row r="137" spans="1:11" x14ac:dyDescent="0.2">
      <c r="A137" s="9">
        <v>136</v>
      </c>
      <c r="B137" s="9" t="str">
        <f t="shared" si="14"/>
        <v/>
      </c>
      <c r="C137" s="29"/>
      <c r="D137" s="29"/>
      <c r="E137" s="24"/>
      <c r="F137" s="24"/>
      <c r="G137" s="24"/>
      <c r="H137" s="24"/>
      <c r="I137" s="24"/>
      <c r="J137" s="29">
        <v>20838315</v>
      </c>
      <c r="K137" s="24"/>
    </row>
    <row r="138" spans="1:11" x14ac:dyDescent="0.2">
      <c r="A138" s="9">
        <v>137</v>
      </c>
      <c r="B138" s="9" t="str">
        <f t="shared" si="14"/>
        <v/>
      </c>
      <c r="C138" s="29"/>
      <c r="D138" s="29"/>
      <c r="E138" s="24"/>
      <c r="F138" s="24"/>
      <c r="G138" s="24"/>
      <c r="H138" s="24"/>
      <c r="I138" s="24"/>
      <c r="J138" s="29">
        <v>20838316</v>
      </c>
      <c r="K138" s="24"/>
    </row>
    <row r="139" spans="1:11" x14ac:dyDescent="0.2">
      <c r="A139" s="9">
        <v>138</v>
      </c>
      <c r="B139" s="9" t="str">
        <f t="shared" si="14"/>
        <v/>
      </c>
      <c r="C139" s="29"/>
      <c r="D139" s="29"/>
      <c r="E139" s="24"/>
      <c r="F139" s="24"/>
      <c r="G139" s="24"/>
      <c r="H139" s="24"/>
      <c r="I139" s="24"/>
      <c r="J139" s="29">
        <v>20838317</v>
      </c>
      <c r="K139" s="24"/>
    </row>
    <row r="140" spans="1:11" x14ac:dyDescent="0.2">
      <c r="A140" s="9">
        <v>139</v>
      </c>
      <c r="B140" s="9" t="str">
        <f t="shared" si="14"/>
        <v/>
      </c>
      <c r="C140" s="29"/>
      <c r="D140" s="29"/>
      <c r="E140" s="24"/>
      <c r="F140" s="24"/>
      <c r="G140" s="24"/>
      <c r="H140" s="24"/>
      <c r="I140" s="24"/>
      <c r="J140" s="29">
        <v>20873501</v>
      </c>
      <c r="K140" s="24"/>
    </row>
    <row r="141" spans="1:11" x14ac:dyDescent="0.2">
      <c r="A141" s="9">
        <v>140</v>
      </c>
      <c r="B141" s="9" t="str">
        <f t="shared" si="14"/>
        <v/>
      </c>
      <c r="C141" s="29"/>
      <c r="D141" s="29"/>
      <c r="E141" s="24"/>
      <c r="F141" s="24"/>
      <c r="G141" s="24"/>
      <c r="H141" s="24"/>
      <c r="I141" s="24"/>
      <c r="J141" s="29">
        <v>20873502</v>
      </c>
      <c r="K141" s="24"/>
    </row>
    <row r="142" spans="1:11" x14ac:dyDescent="0.2">
      <c r="A142" s="9">
        <v>141</v>
      </c>
      <c r="B142" s="9" t="str">
        <f t="shared" si="14"/>
        <v/>
      </c>
      <c r="C142" s="29"/>
      <c r="D142" s="29"/>
      <c r="E142" s="24"/>
      <c r="F142" s="24"/>
      <c r="G142" s="24"/>
      <c r="H142" s="24"/>
      <c r="I142" s="24"/>
      <c r="J142" s="29">
        <v>20877101</v>
      </c>
      <c r="K142" s="24"/>
    </row>
    <row r="143" spans="1:11" x14ac:dyDescent="0.2">
      <c r="A143" s="9">
        <v>142</v>
      </c>
      <c r="B143" s="9" t="str">
        <f t="shared" si="14"/>
        <v/>
      </c>
      <c r="C143" s="29"/>
      <c r="D143" s="29"/>
      <c r="E143" s="24"/>
      <c r="F143" s="24"/>
      <c r="G143" s="24"/>
      <c r="H143" s="24"/>
      <c r="I143" s="24"/>
      <c r="J143" s="29">
        <v>20925001</v>
      </c>
      <c r="K143" s="24"/>
    </row>
    <row r="144" spans="1:11" x14ac:dyDescent="0.2">
      <c r="A144" s="9">
        <v>143</v>
      </c>
      <c r="B144" s="9" t="str">
        <f t="shared" si="14"/>
        <v/>
      </c>
      <c r="C144" s="29"/>
      <c r="D144" s="29"/>
      <c r="E144" s="24"/>
      <c r="F144" s="24"/>
      <c r="G144" s="24"/>
      <c r="H144" s="24"/>
      <c r="I144" s="24"/>
      <c r="J144" s="29">
        <v>20925002</v>
      </c>
      <c r="K144" s="24"/>
    </row>
    <row r="145" spans="1:11" x14ac:dyDescent="0.2">
      <c r="A145" s="9">
        <v>144</v>
      </c>
      <c r="B145" s="9" t="str">
        <f t="shared" si="14"/>
        <v/>
      </c>
      <c r="C145" s="29"/>
      <c r="D145" s="29"/>
      <c r="E145" s="24"/>
      <c r="F145" s="24"/>
      <c r="G145" s="24"/>
      <c r="H145" s="24"/>
      <c r="I145" s="24"/>
      <c r="J145" s="29">
        <v>20925004</v>
      </c>
      <c r="K145" s="24"/>
    </row>
    <row r="146" spans="1:11" x14ac:dyDescent="0.2">
      <c r="A146" s="9">
        <v>145</v>
      </c>
      <c r="B146" s="9" t="str">
        <f t="shared" si="14"/>
        <v/>
      </c>
      <c r="C146" s="29"/>
      <c r="D146" s="29"/>
      <c r="E146" s="24"/>
      <c r="F146" s="24"/>
      <c r="G146" s="24"/>
      <c r="H146" s="24"/>
      <c r="I146" s="24"/>
      <c r="J146" s="29">
        <v>20925005</v>
      </c>
      <c r="K146" s="24"/>
    </row>
    <row r="147" spans="1:11" x14ac:dyDescent="0.2">
      <c r="A147" s="9">
        <v>146</v>
      </c>
      <c r="B147" s="9" t="str">
        <f t="shared" si="14"/>
        <v/>
      </c>
      <c r="C147" s="29"/>
      <c r="D147" s="29"/>
      <c r="E147" s="24"/>
      <c r="F147" s="24"/>
      <c r="G147" s="24"/>
      <c r="H147" s="24"/>
      <c r="I147" s="24"/>
      <c r="J147" s="29">
        <v>20925006</v>
      </c>
      <c r="K147" s="24"/>
    </row>
    <row r="148" spans="1:11" x14ac:dyDescent="0.2">
      <c r="A148" s="9">
        <v>147</v>
      </c>
      <c r="B148" s="9" t="str">
        <f t="shared" si="14"/>
        <v/>
      </c>
      <c r="C148" s="29"/>
      <c r="D148" s="29"/>
      <c r="E148" s="24"/>
      <c r="F148" s="24"/>
      <c r="G148" s="24"/>
      <c r="H148" s="24"/>
      <c r="I148" s="24"/>
      <c r="J148" s="29">
        <v>20925007</v>
      </c>
      <c r="K148" s="24"/>
    </row>
    <row r="149" spans="1:11" x14ac:dyDescent="0.2">
      <c r="A149" s="9">
        <v>148</v>
      </c>
      <c r="B149" s="9" t="str">
        <f t="shared" si="14"/>
        <v/>
      </c>
      <c r="C149" s="29"/>
      <c r="D149" s="29"/>
      <c r="E149" s="24"/>
      <c r="F149" s="24"/>
      <c r="G149" s="24"/>
      <c r="H149" s="24"/>
      <c r="I149" s="24"/>
      <c r="J149" s="29">
        <v>20925008</v>
      </c>
      <c r="K149" s="24"/>
    </row>
    <row r="150" spans="1:11" x14ac:dyDescent="0.2">
      <c r="A150" s="9">
        <v>149</v>
      </c>
      <c r="B150" s="9" t="str">
        <f t="shared" si="14"/>
        <v/>
      </c>
      <c r="C150" s="29"/>
      <c r="D150" s="29"/>
      <c r="E150" s="24"/>
      <c r="F150" s="24"/>
      <c r="G150" s="24"/>
      <c r="H150" s="24"/>
      <c r="I150" s="24"/>
      <c r="J150" s="29">
        <v>20925009</v>
      </c>
      <c r="K150" s="24"/>
    </row>
    <row r="151" spans="1:11" x14ac:dyDescent="0.2">
      <c r="A151" s="9">
        <v>150</v>
      </c>
      <c r="B151" s="9" t="str">
        <f t="shared" si="14"/>
        <v/>
      </c>
      <c r="C151" s="29"/>
      <c r="D151" s="29"/>
      <c r="E151" s="24"/>
      <c r="F151" s="24"/>
      <c r="G151" s="24"/>
      <c r="H151" s="24"/>
      <c r="I151" s="24"/>
      <c r="J151" s="29">
        <v>20925010</v>
      </c>
      <c r="K151" s="24"/>
    </row>
    <row r="152" spans="1:11" x14ac:dyDescent="0.2">
      <c r="A152" s="9">
        <v>151</v>
      </c>
      <c r="B152" s="9" t="str">
        <f t="shared" si="14"/>
        <v/>
      </c>
      <c r="C152" s="29"/>
      <c r="D152" s="29"/>
      <c r="E152" s="24"/>
      <c r="F152" s="24"/>
      <c r="G152" s="24"/>
      <c r="H152" s="24"/>
      <c r="I152" s="24"/>
      <c r="J152" s="29">
        <v>20966601</v>
      </c>
      <c r="K152" s="24"/>
    </row>
    <row r="153" spans="1:11" x14ac:dyDescent="0.2">
      <c r="A153" s="9">
        <v>152</v>
      </c>
      <c r="B153" s="9" t="str">
        <f t="shared" si="14"/>
        <v/>
      </c>
      <c r="C153" s="24"/>
      <c r="D153" s="24"/>
      <c r="E153" s="24"/>
      <c r="F153" s="24"/>
      <c r="G153" s="24"/>
      <c r="H153" s="24"/>
      <c r="I153" s="24"/>
      <c r="J153" s="29">
        <v>20966602</v>
      </c>
      <c r="K153" s="24"/>
    </row>
    <row r="154" spans="1:11" x14ac:dyDescent="0.2">
      <c r="A154" s="9">
        <v>153</v>
      </c>
      <c r="B154" s="9" t="str">
        <f t="shared" si="14"/>
        <v/>
      </c>
      <c r="C154" s="24"/>
      <c r="D154" s="24"/>
      <c r="E154" s="24"/>
      <c r="F154" s="24"/>
      <c r="G154" s="24"/>
      <c r="H154" s="24"/>
      <c r="I154" s="24"/>
      <c r="J154" s="29">
        <v>20966603</v>
      </c>
      <c r="K154" s="24"/>
    </row>
    <row r="155" spans="1:11" x14ac:dyDescent="0.2">
      <c r="A155" s="9">
        <v>154</v>
      </c>
      <c r="B155" s="9" t="str">
        <f t="shared" si="14"/>
        <v/>
      </c>
      <c r="C155" s="24"/>
      <c r="D155" s="24"/>
      <c r="E155" s="24"/>
      <c r="F155" s="24"/>
      <c r="G155" s="24"/>
      <c r="H155" s="24"/>
      <c r="I155" s="24"/>
      <c r="J155" s="29">
        <v>20966604</v>
      </c>
      <c r="K155" s="24"/>
    </row>
    <row r="156" spans="1:11" x14ac:dyDescent="0.2">
      <c r="A156" s="9">
        <v>155</v>
      </c>
      <c r="B156" s="9" t="str">
        <f t="shared" si="14"/>
        <v/>
      </c>
      <c r="C156" s="24"/>
      <c r="D156" s="24"/>
      <c r="E156" s="24"/>
      <c r="F156" s="24"/>
      <c r="G156" s="24"/>
      <c r="H156" s="24"/>
      <c r="I156" s="24"/>
      <c r="J156" s="29">
        <v>20966604</v>
      </c>
      <c r="K156" s="24"/>
    </row>
    <row r="157" spans="1:11" x14ac:dyDescent="0.2">
      <c r="A157" s="9">
        <v>156</v>
      </c>
      <c r="B157" s="9" t="str">
        <f t="shared" si="14"/>
        <v/>
      </c>
      <c r="C157" s="24"/>
      <c r="D157" s="24"/>
      <c r="E157" s="24"/>
      <c r="F157" s="24"/>
      <c r="G157" s="24"/>
      <c r="H157" s="24"/>
      <c r="I157" s="24"/>
      <c r="J157" s="29">
        <v>20966605</v>
      </c>
      <c r="K157" s="24"/>
    </row>
    <row r="158" spans="1:11" x14ac:dyDescent="0.2">
      <c r="A158" s="9">
        <v>157</v>
      </c>
      <c r="B158" s="9" t="str">
        <f t="shared" si="14"/>
        <v/>
      </c>
      <c r="C158" s="24"/>
      <c r="D158" s="24"/>
      <c r="E158" s="24"/>
      <c r="F158" s="24"/>
      <c r="G158" s="24"/>
      <c r="H158" s="24"/>
      <c r="I158" s="24"/>
      <c r="J158" s="29">
        <v>20971102</v>
      </c>
      <c r="K158" s="24"/>
    </row>
    <row r="159" spans="1:11" x14ac:dyDescent="0.2">
      <c r="A159" s="9">
        <v>158</v>
      </c>
      <c r="B159" s="9" t="str">
        <f t="shared" si="14"/>
        <v/>
      </c>
      <c r="C159" s="24"/>
      <c r="D159" s="24"/>
      <c r="E159" s="24"/>
      <c r="F159" s="24"/>
      <c r="G159" s="24"/>
      <c r="H159" s="24"/>
      <c r="I159" s="24"/>
      <c r="J159" s="29">
        <v>20995801</v>
      </c>
      <c r="K159" s="24"/>
    </row>
    <row r="160" spans="1:11" x14ac:dyDescent="0.2">
      <c r="A160" s="9">
        <v>159</v>
      </c>
      <c r="B160" s="9" t="str">
        <f t="shared" si="14"/>
        <v/>
      </c>
      <c r="C160" s="24"/>
      <c r="D160" s="24"/>
      <c r="E160" s="24"/>
      <c r="F160" s="24"/>
      <c r="G160" s="24"/>
      <c r="H160" s="24"/>
      <c r="I160" s="24"/>
      <c r="J160" s="29">
        <v>20995802</v>
      </c>
      <c r="K160" s="24"/>
    </row>
    <row r="161" spans="1:11" x14ac:dyDescent="0.2">
      <c r="A161" s="9">
        <v>160</v>
      </c>
      <c r="B161" s="9" t="str">
        <f t="shared" si="14"/>
        <v/>
      </c>
      <c r="C161" s="24"/>
      <c r="D161" s="24"/>
      <c r="E161" s="24"/>
      <c r="F161" s="24"/>
      <c r="G161" s="24"/>
      <c r="H161" s="24"/>
      <c r="I161" s="24"/>
      <c r="J161" s="29">
        <v>20995803</v>
      </c>
      <c r="K161" s="24"/>
    </row>
    <row r="162" spans="1:11" x14ac:dyDescent="0.2">
      <c r="A162" s="9">
        <v>161</v>
      </c>
      <c r="B162" s="9" t="str">
        <f t="shared" si="14"/>
        <v/>
      </c>
      <c r="C162" s="24"/>
      <c r="D162" s="24"/>
      <c r="E162" s="24"/>
      <c r="F162" s="24"/>
      <c r="G162" s="24"/>
      <c r="H162" s="24"/>
      <c r="I162" s="24"/>
      <c r="J162" s="29">
        <v>20995804</v>
      </c>
      <c r="K162" s="24"/>
    </row>
    <row r="163" spans="1:11" x14ac:dyDescent="0.2">
      <c r="A163" s="9">
        <v>162</v>
      </c>
      <c r="B163" s="9" t="str">
        <f t="shared" si="14"/>
        <v/>
      </c>
      <c r="C163" s="24"/>
      <c r="D163" s="24"/>
      <c r="E163" s="24"/>
      <c r="F163" s="24"/>
      <c r="G163" s="24"/>
      <c r="H163" s="24"/>
      <c r="I163" s="24"/>
      <c r="J163" s="29">
        <v>20995805</v>
      </c>
      <c r="K163" s="24"/>
    </row>
    <row r="164" spans="1:11" x14ac:dyDescent="0.2">
      <c r="A164" s="9">
        <v>163</v>
      </c>
      <c r="B164" s="9" t="str">
        <f t="shared" si="14"/>
        <v/>
      </c>
      <c r="C164" s="24"/>
      <c r="D164" s="24"/>
      <c r="E164" s="24"/>
      <c r="F164" s="24"/>
      <c r="G164" s="24"/>
      <c r="H164" s="24"/>
      <c r="I164" s="24"/>
      <c r="J164" s="29">
        <v>20998501</v>
      </c>
      <c r="K164" s="24"/>
    </row>
    <row r="165" spans="1:11" x14ac:dyDescent="0.2">
      <c r="A165" s="9">
        <v>164</v>
      </c>
      <c r="B165" s="9" t="str">
        <f t="shared" si="14"/>
        <v/>
      </c>
      <c r="C165" s="24"/>
      <c r="D165" s="24"/>
      <c r="E165" s="24"/>
      <c r="F165" s="24"/>
      <c r="G165" s="24"/>
      <c r="H165" s="24"/>
      <c r="I165" s="24"/>
      <c r="J165" s="29">
        <v>20998502</v>
      </c>
      <c r="K165" s="24"/>
    </row>
    <row r="166" spans="1:11" x14ac:dyDescent="0.2">
      <c r="A166" s="9">
        <v>165</v>
      </c>
      <c r="B166" s="9" t="str">
        <f t="shared" si="14"/>
        <v/>
      </c>
      <c r="C166" s="24"/>
      <c r="D166" s="24"/>
      <c r="E166" s="24"/>
      <c r="F166" s="24"/>
      <c r="G166" s="24"/>
      <c r="H166" s="24"/>
      <c r="I166" s="24"/>
      <c r="J166" s="29">
        <v>21040601</v>
      </c>
      <c r="K166" s="24"/>
    </row>
    <row r="167" spans="1:11" x14ac:dyDescent="0.2">
      <c r="A167" s="9">
        <v>166</v>
      </c>
      <c r="B167" s="9" t="str">
        <f t="shared" si="14"/>
        <v/>
      </c>
      <c r="C167" s="24"/>
      <c r="D167" s="24"/>
      <c r="E167" s="24"/>
      <c r="F167" s="24"/>
      <c r="G167" s="24"/>
      <c r="H167" s="24"/>
      <c r="I167" s="24"/>
      <c r="J167" s="29">
        <v>21040601</v>
      </c>
      <c r="K167" s="24"/>
    </row>
    <row r="168" spans="1:11" x14ac:dyDescent="0.2">
      <c r="A168" s="9">
        <v>167</v>
      </c>
      <c r="B168" s="9" t="str">
        <f t="shared" si="14"/>
        <v/>
      </c>
      <c r="C168" s="24"/>
      <c r="D168" s="24"/>
      <c r="E168" s="24"/>
      <c r="F168" s="24"/>
      <c r="G168" s="24"/>
      <c r="H168" s="24"/>
      <c r="I168" s="24"/>
      <c r="J168" s="29">
        <v>21045301</v>
      </c>
      <c r="K168" s="24"/>
    </row>
    <row r="169" spans="1:11" x14ac:dyDescent="0.2">
      <c r="A169" s="9">
        <v>168</v>
      </c>
      <c r="B169" s="9" t="str">
        <f t="shared" si="14"/>
        <v/>
      </c>
      <c r="C169" s="24"/>
      <c r="D169" s="24"/>
      <c r="E169" s="24"/>
      <c r="F169" s="24"/>
      <c r="G169" s="24"/>
      <c r="H169" s="24"/>
      <c r="I169" s="24"/>
      <c r="J169" s="29">
        <v>21049901</v>
      </c>
      <c r="K169" s="24"/>
    </row>
    <row r="170" spans="1:11" x14ac:dyDescent="0.2">
      <c r="A170" s="9">
        <v>169</v>
      </c>
      <c r="B170" s="9" t="str">
        <f t="shared" si="14"/>
        <v/>
      </c>
      <c r="C170" s="24"/>
      <c r="D170" s="24"/>
      <c r="E170" s="24"/>
      <c r="F170" s="24"/>
      <c r="G170" s="24"/>
      <c r="H170" s="24"/>
      <c r="I170" s="24"/>
      <c r="J170" s="29">
        <v>21049902</v>
      </c>
      <c r="K170" s="24"/>
    </row>
    <row r="171" spans="1:11" x14ac:dyDescent="0.2">
      <c r="A171" s="9">
        <v>170</v>
      </c>
      <c r="B171" s="9" t="str">
        <f t="shared" si="14"/>
        <v/>
      </c>
      <c r="C171" s="24"/>
      <c r="D171" s="24"/>
      <c r="E171" s="24"/>
      <c r="F171" s="24"/>
      <c r="G171" s="24"/>
      <c r="H171" s="24"/>
      <c r="I171" s="24"/>
      <c r="J171" s="29">
        <v>21049903</v>
      </c>
      <c r="K171" s="24"/>
    </row>
    <row r="172" spans="1:11" x14ac:dyDescent="0.2">
      <c r="A172" s="9">
        <v>171</v>
      </c>
      <c r="B172" s="9" t="str">
        <f t="shared" si="14"/>
        <v/>
      </c>
      <c r="C172" s="24"/>
      <c r="D172" s="24"/>
      <c r="E172" s="24"/>
      <c r="F172" s="24"/>
      <c r="G172" s="24"/>
      <c r="H172" s="24"/>
      <c r="I172" s="24"/>
      <c r="J172" s="29">
        <v>21049904</v>
      </c>
      <c r="K172" s="24"/>
    </row>
    <row r="173" spans="1:11" x14ac:dyDescent="0.2">
      <c r="A173" s="9">
        <v>172</v>
      </c>
      <c r="B173" s="9" t="str">
        <f t="shared" si="14"/>
        <v/>
      </c>
      <c r="C173" s="24"/>
      <c r="D173" s="24"/>
      <c r="E173" s="24"/>
      <c r="F173" s="24"/>
      <c r="G173" s="24"/>
      <c r="H173" s="24"/>
      <c r="I173" s="24"/>
      <c r="J173" s="29">
        <v>21049905</v>
      </c>
      <c r="K173" s="24"/>
    </row>
    <row r="174" spans="1:11" x14ac:dyDescent="0.2">
      <c r="A174" s="9">
        <v>173</v>
      </c>
      <c r="B174" s="9" t="str">
        <f t="shared" si="14"/>
        <v/>
      </c>
      <c r="C174" s="24"/>
      <c r="D174" s="24"/>
      <c r="E174" s="24"/>
      <c r="F174" s="24"/>
      <c r="G174" s="24"/>
      <c r="H174" s="24"/>
      <c r="I174" s="24"/>
      <c r="J174" s="29">
        <v>21049906</v>
      </c>
      <c r="K174" s="24"/>
    </row>
    <row r="175" spans="1:11" x14ac:dyDescent="0.2">
      <c r="A175" s="9">
        <v>174</v>
      </c>
      <c r="B175" s="9" t="str">
        <f t="shared" si="14"/>
        <v/>
      </c>
      <c r="C175" s="24"/>
      <c r="D175" s="24"/>
      <c r="E175" s="24"/>
      <c r="F175" s="24"/>
      <c r="G175" s="24"/>
      <c r="H175" s="24"/>
      <c r="I175" s="24"/>
      <c r="J175" s="29">
        <v>21049907</v>
      </c>
      <c r="K175" s="24"/>
    </row>
    <row r="176" spans="1:11" x14ac:dyDescent="0.2">
      <c r="A176" s="9">
        <v>175</v>
      </c>
      <c r="B176" s="9" t="str">
        <f t="shared" si="14"/>
        <v/>
      </c>
      <c r="C176" s="24"/>
      <c r="D176" s="24"/>
      <c r="E176" s="24"/>
      <c r="F176" s="24"/>
      <c r="G176" s="24"/>
      <c r="H176" s="24"/>
      <c r="I176" s="24"/>
      <c r="J176" s="29">
        <v>21049908</v>
      </c>
      <c r="K176" s="24"/>
    </row>
    <row r="177" spans="1:11" x14ac:dyDescent="0.2">
      <c r="A177" s="9">
        <v>176</v>
      </c>
      <c r="B177" s="9" t="str">
        <f t="shared" si="14"/>
        <v/>
      </c>
      <c r="C177" s="24"/>
      <c r="D177" s="24"/>
      <c r="E177" s="24"/>
      <c r="F177" s="24"/>
      <c r="G177" s="24"/>
      <c r="H177" s="24"/>
      <c r="I177" s="24"/>
      <c r="J177" s="29">
        <v>21049909</v>
      </c>
      <c r="K177" s="24"/>
    </row>
    <row r="178" spans="1:11" x14ac:dyDescent="0.2">
      <c r="A178" s="9">
        <v>177</v>
      </c>
      <c r="B178" s="9" t="str">
        <f t="shared" si="14"/>
        <v/>
      </c>
      <c r="C178" s="24"/>
      <c r="D178" s="24"/>
      <c r="E178" s="24"/>
      <c r="F178" s="24"/>
      <c r="G178" s="24"/>
      <c r="H178" s="24"/>
      <c r="I178" s="24"/>
      <c r="J178" s="29">
        <v>21082801</v>
      </c>
      <c r="K178" s="24"/>
    </row>
    <row r="179" spans="1:11" x14ac:dyDescent="0.2">
      <c r="A179" s="9">
        <v>178</v>
      </c>
      <c r="B179" s="9" t="str">
        <f t="shared" si="14"/>
        <v/>
      </c>
      <c r="C179" s="24"/>
      <c r="D179" s="24"/>
      <c r="E179" s="24"/>
      <c r="F179" s="24"/>
      <c r="G179" s="24"/>
      <c r="H179" s="24"/>
      <c r="I179" s="24"/>
      <c r="J179" s="29">
        <v>21097701</v>
      </c>
      <c r="K179" s="24"/>
    </row>
    <row r="180" spans="1:11" x14ac:dyDescent="0.2">
      <c r="A180" s="9">
        <v>179</v>
      </c>
      <c r="B180" s="9" t="str">
        <f t="shared" si="14"/>
        <v/>
      </c>
      <c r="C180" s="24"/>
      <c r="D180" s="24"/>
      <c r="E180" s="24"/>
      <c r="F180" s="24"/>
      <c r="G180" s="24"/>
      <c r="H180" s="24"/>
      <c r="I180" s="24"/>
      <c r="J180" s="29">
        <v>21097702</v>
      </c>
      <c r="K180" s="24"/>
    </row>
    <row r="181" spans="1:11" x14ac:dyDescent="0.2">
      <c r="A181" s="9">
        <v>180</v>
      </c>
      <c r="B181" s="9" t="str">
        <f t="shared" si="14"/>
        <v/>
      </c>
      <c r="C181" s="24"/>
      <c r="D181" s="24"/>
      <c r="E181" s="24"/>
      <c r="F181" s="24"/>
      <c r="G181" s="24"/>
      <c r="H181" s="24"/>
      <c r="I181" s="24"/>
      <c r="J181" s="29">
        <v>21097703</v>
      </c>
      <c r="K181" s="24"/>
    </row>
    <row r="182" spans="1:11" x14ac:dyDescent="0.2">
      <c r="A182" s="9">
        <v>181</v>
      </c>
      <c r="B182" s="9" t="str">
        <f t="shared" si="14"/>
        <v/>
      </c>
      <c r="C182" s="24"/>
      <c r="D182" s="24"/>
      <c r="E182" s="24"/>
      <c r="F182" s="24"/>
      <c r="G182" s="24"/>
      <c r="H182" s="24"/>
      <c r="I182" s="24"/>
      <c r="J182" s="29">
        <v>21097704</v>
      </c>
      <c r="K182" s="24"/>
    </row>
    <row r="183" spans="1:11" x14ac:dyDescent="0.2">
      <c r="A183" s="9">
        <v>182</v>
      </c>
      <c r="B183" s="9" t="str">
        <f t="shared" si="14"/>
        <v/>
      </c>
      <c r="C183" s="24"/>
      <c r="D183" s="24"/>
      <c r="E183" s="24"/>
      <c r="F183" s="24"/>
      <c r="G183" s="24"/>
      <c r="H183" s="24"/>
      <c r="I183" s="24"/>
      <c r="J183" s="29">
        <v>21097705</v>
      </c>
      <c r="K183" s="24"/>
    </row>
    <row r="184" spans="1:11" x14ac:dyDescent="0.2">
      <c r="A184" s="9">
        <v>183</v>
      </c>
      <c r="B184" s="9" t="str">
        <f t="shared" si="14"/>
        <v/>
      </c>
      <c r="C184" s="24"/>
      <c r="D184" s="24"/>
      <c r="E184" s="24"/>
      <c r="F184" s="24"/>
      <c r="G184" s="24"/>
      <c r="H184" s="24"/>
      <c r="I184" s="24"/>
      <c r="J184" s="29">
        <v>21097706</v>
      </c>
      <c r="K184" s="24"/>
    </row>
    <row r="185" spans="1:11" x14ac:dyDescent="0.2">
      <c r="A185" s="9">
        <v>184</v>
      </c>
      <c r="B185" s="9" t="str">
        <f t="shared" si="14"/>
        <v/>
      </c>
      <c r="C185" s="24"/>
      <c r="D185" s="24"/>
      <c r="E185" s="24"/>
      <c r="F185" s="24"/>
      <c r="G185" s="24"/>
      <c r="H185" s="24"/>
      <c r="I185" s="24"/>
      <c r="J185" s="29">
        <v>21097707</v>
      </c>
      <c r="K185" s="24"/>
    </row>
    <row r="186" spans="1:11" x14ac:dyDescent="0.2">
      <c r="A186" s="9">
        <v>185</v>
      </c>
      <c r="B186" s="9" t="str">
        <f t="shared" si="14"/>
        <v/>
      </c>
      <c r="C186" s="24"/>
      <c r="D186" s="24"/>
      <c r="E186" s="24"/>
      <c r="F186" s="24"/>
      <c r="G186" s="24"/>
      <c r="H186" s="24"/>
      <c r="I186" s="24"/>
      <c r="J186" s="29">
        <v>21097708</v>
      </c>
      <c r="K186" s="24"/>
    </row>
    <row r="187" spans="1:11" x14ac:dyDescent="0.2">
      <c r="A187" s="9">
        <v>186</v>
      </c>
      <c r="B187" s="9" t="str">
        <f t="shared" si="14"/>
        <v/>
      </c>
      <c r="C187" s="24"/>
      <c r="D187" s="24"/>
      <c r="E187" s="24"/>
      <c r="F187" s="24"/>
      <c r="G187" s="24"/>
      <c r="H187" s="24"/>
      <c r="I187" s="24"/>
      <c r="J187" s="29">
        <v>21097709</v>
      </c>
      <c r="K187" s="24"/>
    </row>
    <row r="188" spans="1:11" x14ac:dyDescent="0.2">
      <c r="A188" s="9">
        <v>187</v>
      </c>
      <c r="B188" s="9" t="str">
        <f t="shared" si="14"/>
        <v/>
      </c>
      <c r="C188" s="24"/>
      <c r="D188" s="24"/>
      <c r="E188" s="24"/>
      <c r="F188" s="24"/>
      <c r="G188" s="24"/>
      <c r="H188" s="24"/>
      <c r="I188" s="24"/>
      <c r="J188" s="29">
        <v>21097710</v>
      </c>
      <c r="K188" s="24"/>
    </row>
    <row r="189" spans="1:11" x14ac:dyDescent="0.2">
      <c r="A189" s="9">
        <v>188</v>
      </c>
      <c r="B189" s="9" t="str">
        <f t="shared" si="14"/>
        <v/>
      </c>
      <c r="C189" s="24"/>
      <c r="D189" s="24"/>
      <c r="E189" s="24"/>
      <c r="F189" s="24"/>
      <c r="G189" s="24"/>
      <c r="H189" s="24"/>
      <c r="I189" s="24"/>
      <c r="J189" s="29">
        <v>21097711</v>
      </c>
      <c r="K189" s="24"/>
    </row>
    <row r="190" spans="1:11" x14ac:dyDescent="0.2">
      <c r="A190" s="9">
        <v>189</v>
      </c>
      <c r="B190" s="9" t="str">
        <f t="shared" si="14"/>
        <v/>
      </c>
      <c r="C190" s="24"/>
      <c r="D190" s="24"/>
      <c r="E190" s="24"/>
      <c r="F190" s="24"/>
      <c r="G190" s="24"/>
      <c r="H190" s="24"/>
      <c r="I190" s="24"/>
      <c r="J190" s="29">
        <v>21097712</v>
      </c>
      <c r="K190" s="24"/>
    </row>
    <row r="191" spans="1:11" x14ac:dyDescent="0.2">
      <c r="A191" s="9">
        <v>190</v>
      </c>
      <c r="B191" s="9" t="str">
        <f t="shared" si="14"/>
        <v/>
      </c>
      <c r="C191" s="24"/>
      <c r="D191" s="24"/>
      <c r="E191" s="24"/>
      <c r="F191" s="24"/>
      <c r="G191" s="24"/>
      <c r="H191" s="24"/>
      <c r="I191" s="24"/>
      <c r="J191" s="29">
        <v>21097713</v>
      </c>
      <c r="K191" s="24"/>
    </row>
    <row r="192" spans="1:11" x14ac:dyDescent="0.2">
      <c r="A192" s="9">
        <v>191</v>
      </c>
      <c r="B192" s="9" t="str">
        <f t="shared" si="14"/>
        <v/>
      </c>
      <c r="C192" s="24"/>
      <c r="D192" s="24"/>
      <c r="E192" s="24"/>
      <c r="F192" s="24"/>
      <c r="G192" s="24"/>
      <c r="H192" s="24"/>
      <c r="I192" s="24"/>
      <c r="J192" s="29">
        <v>21097714</v>
      </c>
      <c r="K192" s="24"/>
    </row>
    <row r="193" spans="1:11" x14ac:dyDescent="0.2">
      <c r="A193" s="9">
        <v>192</v>
      </c>
      <c r="B193" s="9" t="str">
        <f t="shared" si="14"/>
        <v/>
      </c>
      <c r="C193" s="24"/>
      <c r="D193" s="24"/>
      <c r="E193" s="24"/>
      <c r="F193" s="24"/>
      <c r="G193" s="24"/>
      <c r="H193" s="24"/>
      <c r="I193" s="24"/>
      <c r="J193" s="29">
        <v>21097715</v>
      </c>
      <c r="K193" s="24"/>
    </row>
    <row r="194" spans="1:11" x14ac:dyDescent="0.2">
      <c r="A194" s="9">
        <v>193</v>
      </c>
      <c r="B194" s="9" t="str">
        <f t="shared" si="14"/>
        <v/>
      </c>
      <c r="C194" s="24"/>
      <c r="D194" s="24"/>
      <c r="E194" s="24"/>
      <c r="F194" s="24"/>
      <c r="G194" s="24"/>
      <c r="H194" s="24"/>
      <c r="I194" s="24"/>
      <c r="J194" s="29">
        <v>21097716</v>
      </c>
      <c r="K194" s="24"/>
    </row>
    <row r="195" spans="1:11" x14ac:dyDescent="0.2">
      <c r="A195" s="9">
        <v>194</v>
      </c>
      <c r="B195" s="9" t="str">
        <f t="shared" si="14"/>
        <v/>
      </c>
      <c r="C195" s="24"/>
      <c r="D195" s="24"/>
      <c r="E195" s="24"/>
      <c r="F195" s="24"/>
      <c r="G195" s="24"/>
      <c r="H195" s="24"/>
      <c r="I195" s="24"/>
      <c r="J195" s="29">
        <v>21097717</v>
      </c>
      <c r="K195" s="24"/>
    </row>
    <row r="196" spans="1:11" x14ac:dyDescent="0.2">
      <c r="A196" s="9">
        <v>195</v>
      </c>
      <c r="B196" s="9" t="str">
        <f t="shared" ref="B196:B259" si="15">IF(HLOOKUP($B$2,$C$2:$K$474,A196,0)=0,"",HLOOKUP($B$2,$C$2:$K$474,A196,0))</f>
        <v/>
      </c>
      <c r="C196" s="24"/>
      <c r="D196" s="24"/>
      <c r="E196" s="24"/>
      <c r="F196" s="24"/>
      <c r="G196" s="24"/>
      <c r="H196" s="24"/>
      <c r="I196" s="24"/>
      <c r="J196" s="29">
        <v>21097718</v>
      </c>
      <c r="K196" s="24"/>
    </row>
    <row r="197" spans="1:11" x14ac:dyDescent="0.2">
      <c r="A197" s="9">
        <v>196</v>
      </c>
      <c r="B197" s="9" t="str">
        <f t="shared" si="15"/>
        <v/>
      </c>
      <c r="C197" s="24"/>
      <c r="D197" s="24"/>
      <c r="E197" s="24"/>
      <c r="F197" s="24"/>
      <c r="G197" s="24"/>
      <c r="H197" s="24"/>
      <c r="I197" s="24"/>
      <c r="J197" s="29">
        <v>21097719</v>
      </c>
      <c r="K197" s="24"/>
    </row>
    <row r="198" spans="1:11" x14ac:dyDescent="0.2">
      <c r="A198" s="9">
        <v>197</v>
      </c>
      <c r="B198" s="9" t="str">
        <f t="shared" si="15"/>
        <v/>
      </c>
      <c r="C198" s="24"/>
      <c r="D198" s="24"/>
      <c r="E198" s="24"/>
      <c r="F198" s="24"/>
      <c r="G198" s="24"/>
      <c r="H198" s="24"/>
      <c r="I198" s="24"/>
      <c r="J198" s="29">
        <v>21097720</v>
      </c>
      <c r="K198" s="24"/>
    </row>
    <row r="199" spans="1:11" x14ac:dyDescent="0.2">
      <c r="A199" s="9">
        <v>198</v>
      </c>
      <c r="B199" s="9" t="str">
        <f t="shared" si="15"/>
        <v/>
      </c>
      <c r="C199" s="24"/>
      <c r="D199" s="24"/>
      <c r="E199" s="24"/>
      <c r="F199" s="24"/>
      <c r="G199" s="24"/>
      <c r="H199" s="24"/>
      <c r="I199" s="24"/>
      <c r="J199" s="29">
        <v>21097721</v>
      </c>
      <c r="K199" s="24"/>
    </row>
    <row r="200" spans="1:11" x14ac:dyDescent="0.2">
      <c r="A200" s="9">
        <v>199</v>
      </c>
      <c r="B200" s="9" t="str">
        <f t="shared" si="15"/>
        <v/>
      </c>
      <c r="C200" s="24"/>
      <c r="D200" s="24"/>
      <c r="E200" s="24"/>
      <c r="F200" s="24"/>
      <c r="G200" s="24"/>
      <c r="H200" s="24"/>
      <c r="I200" s="24"/>
      <c r="J200" s="29">
        <v>21097722</v>
      </c>
      <c r="K200" s="24"/>
    </row>
    <row r="201" spans="1:11" x14ac:dyDescent="0.2">
      <c r="A201" s="9">
        <v>200</v>
      </c>
      <c r="B201" s="9" t="str">
        <f t="shared" si="15"/>
        <v/>
      </c>
      <c r="C201" s="24"/>
      <c r="D201" s="24"/>
      <c r="E201" s="24"/>
      <c r="F201" s="24"/>
      <c r="G201" s="24"/>
      <c r="H201" s="24"/>
      <c r="I201" s="24"/>
      <c r="J201" s="29">
        <v>21097723</v>
      </c>
      <c r="K201" s="24"/>
    </row>
    <row r="202" spans="1:11" x14ac:dyDescent="0.2">
      <c r="A202" s="9">
        <v>201</v>
      </c>
      <c r="B202" s="9" t="str">
        <f t="shared" si="15"/>
        <v/>
      </c>
      <c r="C202" s="24"/>
      <c r="D202" s="24"/>
      <c r="E202" s="24"/>
      <c r="F202" s="24"/>
      <c r="G202" s="24"/>
      <c r="H202" s="24"/>
      <c r="I202" s="24"/>
      <c r="J202" s="29">
        <v>21097724</v>
      </c>
      <c r="K202" s="24"/>
    </row>
    <row r="203" spans="1:11" x14ac:dyDescent="0.2">
      <c r="A203" s="9">
        <v>202</v>
      </c>
      <c r="B203" s="9" t="str">
        <f t="shared" si="15"/>
        <v/>
      </c>
      <c r="C203" s="24"/>
      <c r="D203" s="24"/>
      <c r="E203" s="24"/>
      <c r="F203" s="24"/>
      <c r="G203" s="24"/>
      <c r="H203" s="24"/>
      <c r="I203" s="24"/>
      <c r="J203" s="29">
        <v>21097725</v>
      </c>
      <c r="K203" s="24"/>
    </row>
    <row r="204" spans="1:11" x14ac:dyDescent="0.2">
      <c r="A204" s="9">
        <v>203</v>
      </c>
      <c r="B204" s="9" t="str">
        <f t="shared" si="15"/>
        <v/>
      </c>
      <c r="C204" s="24"/>
      <c r="D204" s="24"/>
      <c r="E204" s="24"/>
      <c r="F204" s="24"/>
      <c r="G204" s="24"/>
      <c r="H204" s="24"/>
      <c r="I204" s="24"/>
      <c r="J204" s="29">
        <v>21097726</v>
      </c>
      <c r="K204" s="24"/>
    </row>
    <row r="205" spans="1:11" x14ac:dyDescent="0.2">
      <c r="A205" s="9">
        <v>204</v>
      </c>
      <c r="B205" s="9" t="str">
        <f t="shared" si="15"/>
        <v/>
      </c>
      <c r="C205" s="24"/>
      <c r="D205" s="24"/>
      <c r="E205" s="24"/>
      <c r="F205" s="24"/>
      <c r="G205" s="24"/>
      <c r="H205" s="24"/>
      <c r="I205" s="24"/>
      <c r="J205" s="29">
        <v>21097727</v>
      </c>
      <c r="K205" s="24"/>
    </row>
    <row r="206" spans="1:11" x14ac:dyDescent="0.2">
      <c r="A206" s="9">
        <v>205</v>
      </c>
      <c r="B206" s="9" t="str">
        <f t="shared" si="15"/>
        <v/>
      </c>
      <c r="C206" s="24"/>
      <c r="D206" s="24"/>
      <c r="E206" s="24"/>
      <c r="F206" s="24"/>
      <c r="G206" s="24"/>
      <c r="H206" s="24"/>
      <c r="I206" s="24"/>
      <c r="J206" s="29">
        <v>21097728</v>
      </c>
      <c r="K206" s="24"/>
    </row>
    <row r="207" spans="1:11" x14ac:dyDescent="0.2">
      <c r="A207" s="9">
        <v>206</v>
      </c>
      <c r="B207" s="9" t="str">
        <f t="shared" si="15"/>
        <v/>
      </c>
      <c r="C207" s="24"/>
      <c r="D207" s="24"/>
      <c r="E207" s="24"/>
      <c r="F207" s="24"/>
      <c r="G207" s="24"/>
      <c r="H207" s="24"/>
      <c r="I207" s="24"/>
      <c r="J207" s="29">
        <v>21097729</v>
      </c>
      <c r="K207" s="24"/>
    </row>
    <row r="208" spans="1:11" x14ac:dyDescent="0.2">
      <c r="A208" s="9">
        <v>207</v>
      </c>
      <c r="B208" s="9" t="str">
        <f t="shared" si="15"/>
        <v/>
      </c>
      <c r="C208" s="24"/>
      <c r="D208" s="24"/>
      <c r="E208" s="24"/>
      <c r="F208" s="24"/>
      <c r="G208" s="24"/>
      <c r="H208" s="24"/>
      <c r="I208" s="24"/>
      <c r="J208" s="29">
        <v>21097730</v>
      </c>
      <c r="K208" s="24"/>
    </row>
    <row r="209" spans="1:11" x14ac:dyDescent="0.2">
      <c r="A209" s="9">
        <v>208</v>
      </c>
      <c r="B209" s="9" t="str">
        <f t="shared" si="15"/>
        <v/>
      </c>
      <c r="C209" s="24"/>
      <c r="D209" s="24"/>
      <c r="E209" s="24"/>
      <c r="F209" s="24"/>
      <c r="G209" s="24"/>
      <c r="H209" s="24"/>
      <c r="I209" s="24"/>
      <c r="J209" s="29">
        <v>21097731</v>
      </c>
      <c r="K209" s="24"/>
    </row>
    <row r="210" spans="1:11" x14ac:dyDescent="0.2">
      <c r="A210" s="9">
        <v>209</v>
      </c>
      <c r="B210" s="9" t="str">
        <f t="shared" si="15"/>
        <v/>
      </c>
      <c r="C210" s="24"/>
      <c r="D210" s="24"/>
      <c r="E210" s="24"/>
      <c r="F210" s="24"/>
      <c r="G210" s="24"/>
      <c r="H210" s="24"/>
      <c r="I210" s="24"/>
      <c r="J210" s="29">
        <v>21097732</v>
      </c>
      <c r="K210" s="24"/>
    </row>
    <row r="211" spans="1:11" x14ac:dyDescent="0.2">
      <c r="A211" s="9">
        <v>210</v>
      </c>
      <c r="B211" s="9" t="str">
        <f t="shared" si="15"/>
        <v/>
      </c>
      <c r="C211" s="24"/>
      <c r="D211" s="24"/>
      <c r="E211" s="24"/>
      <c r="F211" s="24"/>
      <c r="G211" s="24"/>
      <c r="H211" s="24"/>
      <c r="I211" s="24"/>
      <c r="J211" s="29">
        <v>21097734</v>
      </c>
      <c r="K211" s="24"/>
    </row>
    <row r="212" spans="1:11" x14ac:dyDescent="0.2">
      <c r="A212" s="9">
        <v>211</v>
      </c>
      <c r="B212" s="9" t="str">
        <f t="shared" si="15"/>
        <v/>
      </c>
      <c r="C212" s="24"/>
      <c r="D212" s="24"/>
      <c r="E212" s="24"/>
      <c r="F212" s="24"/>
      <c r="G212" s="24"/>
      <c r="H212" s="24"/>
      <c r="I212" s="24"/>
      <c r="J212" s="29">
        <v>21097735</v>
      </c>
      <c r="K212" s="24"/>
    </row>
    <row r="213" spans="1:11" x14ac:dyDescent="0.2">
      <c r="A213" s="9">
        <v>212</v>
      </c>
      <c r="B213" s="9" t="str">
        <f t="shared" si="15"/>
        <v/>
      </c>
      <c r="C213" s="24"/>
      <c r="D213" s="24"/>
      <c r="E213" s="24"/>
      <c r="F213" s="24"/>
      <c r="G213" s="24"/>
      <c r="H213" s="24"/>
      <c r="I213" s="24"/>
      <c r="J213" s="29">
        <v>21097736</v>
      </c>
      <c r="K213" s="24"/>
    </row>
    <row r="214" spans="1:11" x14ac:dyDescent="0.2">
      <c r="A214" s="9">
        <v>213</v>
      </c>
      <c r="B214" s="9" t="str">
        <f t="shared" si="15"/>
        <v/>
      </c>
      <c r="C214" s="24"/>
      <c r="D214" s="24"/>
      <c r="E214" s="24"/>
      <c r="F214" s="24"/>
      <c r="G214" s="24"/>
      <c r="H214" s="24"/>
      <c r="I214" s="24"/>
      <c r="J214" s="29">
        <v>21097737</v>
      </c>
      <c r="K214" s="24"/>
    </row>
    <row r="215" spans="1:11" x14ac:dyDescent="0.2">
      <c r="A215" s="9">
        <v>214</v>
      </c>
      <c r="B215" s="9" t="str">
        <f t="shared" si="15"/>
        <v/>
      </c>
      <c r="C215" s="24"/>
      <c r="D215" s="24"/>
      <c r="E215" s="24"/>
      <c r="F215" s="24"/>
      <c r="G215" s="24"/>
      <c r="H215" s="24"/>
      <c r="I215" s="24"/>
      <c r="J215" s="29">
        <v>21097738</v>
      </c>
      <c r="K215" s="24"/>
    </row>
    <row r="216" spans="1:11" x14ac:dyDescent="0.2">
      <c r="A216" s="9">
        <v>215</v>
      </c>
      <c r="B216" s="9" t="str">
        <f t="shared" si="15"/>
        <v/>
      </c>
      <c r="C216" s="24"/>
      <c r="D216" s="24"/>
      <c r="E216" s="24"/>
      <c r="F216" s="24"/>
      <c r="G216" s="24"/>
      <c r="H216" s="24"/>
      <c r="I216" s="24"/>
      <c r="J216" s="29">
        <v>21097739</v>
      </c>
      <c r="K216" s="24"/>
    </row>
    <row r="217" spans="1:11" x14ac:dyDescent="0.2">
      <c r="A217" s="9">
        <v>216</v>
      </c>
      <c r="B217" s="9" t="str">
        <f t="shared" si="15"/>
        <v/>
      </c>
      <c r="C217" s="24"/>
      <c r="D217" s="24"/>
      <c r="E217" s="24"/>
      <c r="F217" s="24"/>
      <c r="G217" s="24"/>
      <c r="H217" s="24"/>
      <c r="I217" s="24"/>
      <c r="J217" s="29">
        <v>21097740</v>
      </c>
      <c r="K217" s="24"/>
    </row>
    <row r="218" spans="1:11" x14ac:dyDescent="0.2">
      <c r="A218" s="9">
        <v>217</v>
      </c>
      <c r="B218" s="9" t="str">
        <f t="shared" si="15"/>
        <v/>
      </c>
      <c r="C218" s="24"/>
      <c r="D218" s="24"/>
      <c r="E218" s="24"/>
      <c r="F218" s="24"/>
      <c r="G218" s="24"/>
      <c r="H218" s="24"/>
      <c r="I218" s="24"/>
      <c r="J218" s="29">
        <v>21097741</v>
      </c>
      <c r="K218" s="24"/>
    </row>
    <row r="219" spans="1:11" x14ac:dyDescent="0.2">
      <c r="A219" s="9">
        <v>218</v>
      </c>
      <c r="B219" s="9" t="str">
        <f t="shared" si="15"/>
        <v/>
      </c>
      <c r="C219" s="24"/>
      <c r="D219" s="24"/>
      <c r="E219" s="24"/>
      <c r="F219" s="24"/>
      <c r="G219" s="24"/>
      <c r="H219" s="24"/>
      <c r="I219" s="24"/>
      <c r="J219" s="29">
        <v>21097742</v>
      </c>
      <c r="K219" s="24"/>
    </row>
    <row r="220" spans="1:11" x14ac:dyDescent="0.2">
      <c r="A220" s="9">
        <v>219</v>
      </c>
      <c r="B220" s="9" t="str">
        <f t="shared" si="15"/>
        <v/>
      </c>
      <c r="C220" s="24"/>
      <c r="D220" s="24"/>
      <c r="E220" s="24"/>
      <c r="F220" s="24"/>
      <c r="G220" s="24"/>
      <c r="H220" s="24"/>
      <c r="I220" s="24"/>
      <c r="J220" s="29">
        <v>21097743</v>
      </c>
      <c r="K220" s="24"/>
    </row>
    <row r="221" spans="1:11" x14ac:dyDescent="0.2">
      <c r="A221" s="9">
        <v>220</v>
      </c>
      <c r="B221" s="9" t="str">
        <f t="shared" si="15"/>
        <v/>
      </c>
      <c r="C221" s="24"/>
      <c r="D221" s="24"/>
      <c r="E221" s="24"/>
      <c r="F221" s="24"/>
      <c r="G221" s="24"/>
      <c r="H221" s="24"/>
      <c r="I221" s="24"/>
      <c r="J221" s="29">
        <v>21097747</v>
      </c>
      <c r="K221" s="24"/>
    </row>
    <row r="222" spans="1:11" x14ac:dyDescent="0.2">
      <c r="A222" s="9">
        <v>221</v>
      </c>
      <c r="B222" s="9" t="str">
        <f t="shared" si="15"/>
        <v/>
      </c>
      <c r="C222" s="24"/>
      <c r="D222" s="24"/>
      <c r="E222" s="24"/>
      <c r="F222" s="24"/>
      <c r="G222" s="24"/>
      <c r="H222" s="24"/>
      <c r="I222" s="24"/>
      <c r="J222" s="29">
        <v>21117301</v>
      </c>
      <c r="K222" s="24"/>
    </row>
    <row r="223" spans="1:11" x14ac:dyDescent="0.2">
      <c r="A223" s="9">
        <v>222</v>
      </c>
      <c r="B223" s="9" t="str">
        <f t="shared" si="15"/>
        <v/>
      </c>
      <c r="C223" s="24"/>
      <c r="D223" s="24"/>
      <c r="E223" s="24"/>
      <c r="F223" s="24"/>
      <c r="G223" s="24"/>
      <c r="H223" s="24"/>
      <c r="I223" s="24"/>
      <c r="J223" s="29">
        <v>21140901</v>
      </c>
      <c r="K223" s="24"/>
    </row>
    <row r="224" spans="1:11" x14ac:dyDescent="0.2">
      <c r="A224" s="9">
        <v>223</v>
      </c>
      <c r="B224" s="9" t="str">
        <f t="shared" si="15"/>
        <v/>
      </c>
      <c r="C224" s="24"/>
      <c r="D224" s="24"/>
      <c r="E224" s="24"/>
      <c r="F224" s="24"/>
      <c r="G224" s="24"/>
      <c r="H224" s="24"/>
      <c r="I224" s="24"/>
      <c r="J224" s="29">
        <v>21140902</v>
      </c>
      <c r="K224" s="24"/>
    </row>
    <row r="225" spans="1:11" x14ac:dyDescent="0.2">
      <c r="A225" s="9">
        <v>224</v>
      </c>
      <c r="B225" s="9" t="str">
        <f t="shared" si="15"/>
        <v/>
      </c>
      <c r="C225" s="24"/>
      <c r="D225" s="24"/>
      <c r="E225" s="24"/>
      <c r="F225" s="24"/>
      <c r="G225" s="24"/>
      <c r="H225" s="24"/>
      <c r="I225" s="24"/>
      <c r="J225" s="29">
        <v>21140904</v>
      </c>
      <c r="K225" s="24"/>
    </row>
    <row r="226" spans="1:11" x14ac:dyDescent="0.2">
      <c r="A226" s="9">
        <v>225</v>
      </c>
      <c r="B226" s="9" t="str">
        <f t="shared" si="15"/>
        <v/>
      </c>
      <c r="C226" s="24"/>
      <c r="D226" s="24"/>
      <c r="E226" s="24"/>
      <c r="F226" s="24"/>
      <c r="G226" s="24"/>
      <c r="H226" s="24"/>
      <c r="I226" s="24"/>
      <c r="J226" s="29">
        <v>21140904</v>
      </c>
      <c r="K226" s="24"/>
    </row>
    <row r="227" spans="1:11" x14ac:dyDescent="0.2">
      <c r="A227" s="9">
        <v>226</v>
      </c>
      <c r="B227" s="9" t="str">
        <f t="shared" si="15"/>
        <v/>
      </c>
      <c r="C227" s="24"/>
      <c r="D227" s="24"/>
      <c r="E227" s="24"/>
      <c r="F227" s="24"/>
      <c r="G227" s="24"/>
      <c r="H227" s="24"/>
      <c r="I227" s="24"/>
      <c r="J227" s="29">
        <v>21140905</v>
      </c>
      <c r="K227" s="24"/>
    </row>
    <row r="228" spans="1:11" x14ac:dyDescent="0.2">
      <c r="A228" s="9">
        <v>227</v>
      </c>
      <c r="B228" s="9" t="str">
        <f t="shared" si="15"/>
        <v/>
      </c>
      <c r="C228" s="24"/>
      <c r="D228" s="24"/>
      <c r="E228" s="24"/>
      <c r="F228" s="24"/>
      <c r="G228" s="24"/>
      <c r="H228" s="24"/>
      <c r="I228" s="24"/>
      <c r="J228" s="29">
        <v>21140906</v>
      </c>
      <c r="K228" s="24"/>
    </row>
    <row r="229" spans="1:11" x14ac:dyDescent="0.2">
      <c r="A229" s="9">
        <v>228</v>
      </c>
      <c r="B229" s="9" t="str">
        <f t="shared" si="15"/>
        <v/>
      </c>
      <c r="C229" s="24"/>
      <c r="D229" s="24"/>
      <c r="E229" s="24"/>
      <c r="F229" s="24"/>
      <c r="G229" s="24"/>
      <c r="H229" s="24"/>
      <c r="I229" s="24"/>
      <c r="J229" s="29">
        <v>21140907</v>
      </c>
      <c r="K229" s="24"/>
    </row>
    <row r="230" spans="1:11" x14ac:dyDescent="0.2">
      <c r="A230" s="9">
        <v>229</v>
      </c>
      <c r="B230" s="9" t="str">
        <f t="shared" si="15"/>
        <v/>
      </c>
      <c r="C230" s="24"/>
      <c r="D230" s="24"/>
      <c r="E230" s="24"/>
      <c r="F230" s="24"/>
      <c r="G230" s="24"/>
      <c r="H230" s="24"/>
      <c r="I230" s="24"/>
      <c r="J230" s="29">
        <v>21140908</v>
      </c>
      <c r="K230" s="24"/>
    </row>
    <row r="231" spans="1:11" x14ac:dyDescent="0.2">
      <c r="A231" s="9">
        <v>230</v>
      </c>
      <c r="B231" s="9" t="str">
        <f t="shared" si="15"/>
        <v/>
      </c>
      <c r="C231" s="24"/>
      <c r="D231" s="24"/>
      <c r="E231" s="24"/>
      <c r="F231" s="24"/>
      <c r="G231" s="24"/>
      <c r="H231" s="24"/>
      <c r="I231" s="24"/>
      <c r="J231" s="29">
        <v>21140909</v>
      </c>
      <c r="K231" s="24"/>
    </row>
    <row r="232" spans="1:11" x14ac:dyDescent="0.2">
      <c r="A232" s="9">
        <v>231</v>
      </c>
      <c r="B232" s="9" t="str">
        <f t="shared" si="15"/>
        <v/>
      </c>
      <c r="C232" s="24"/>
      <c r="D232" s="24"/>
      <c r="E232" s="24"/>
      <c r="F232" s="24"/>
      <c r="G232" s="24"/>
      <c r="H232" s="24"/>
      <c r="I232" s="24"/>
      <c r="J232" s="29">
        <v>21140910</v>
      </c>
      <c r="K232" s="24"/>
    </row>
    <row r="233" spans="1:11" x14ac:dyDescent="0.2">
      <c r="A233" s="9">
        <v>232</v>
      </c>
      <c r="B233" s="9" t="str">
        <f t="shared" si="15"/>
        <v/>
      </c>
      <c r="C233" s="24"/>
      <c r="D233" s="24"/>
      <c r="E233" s="24"/>
      <c r="F233" s="24"/>
      <c r="G233" s="24"/>
      <c r="H233" s="24"/>
      <c r="I233" s="24"/>
      <c r="J233" s="29">
        <v>21140911</v>
      </c>
      <c r="K233" s="24"/>
    </row>
    <row r="234" spans="1:11" x14ac:dyDescent="0.2">
      <c r="A234" s="9">
        <v>233</v>
      </c>
      <c r="B234" s="9" t="str">
        <f t="shared" si="15"/>
        <v/>
      </c>
      <c r="C234" s="24"/>
      <c r="D234" s="24"/>
      <c r="E234" s="24"/>
      <c r="F234" s="24"/>
      <c r="G234" s="24"/>
      <c r="H234" s="24"/>
      <c r="I234" s="24"/>
      <c r="J234" s="29">
        <v>21140912</v>
      </c>
      <c r="K234" s="24"/>
    </row>
    <row r="235" spans="1:11" x14ac:dyDescent="0.2">
      <c r="A235" s="9">
        <v>234</v>
      </c>
      <c r="B235" s="9" t="str">
        <f t="shared" si="15"/>
        <v/>
      </c>
      <c r="C235" s="24"/>
      <c r="D235" s="24"/>
      <c r="E235" s="24"/>
      <c r="F235" s="24"/>
      <c r="G235" s="24"/>
      <c r="H235" s="24"/>
      <c r="I235" s="24"/>
      <c r="J235" s="29">
        <v>21140913</v>
      </c>
      <c r="K235" s="24"/>
    </row>
    <row r="236" spans="1:11" x14ac:dyDescent="0.2">
      <c r="A236" s="9">
        <v>235</v>
      </c>
      <c r="B236" s="9" t="str">
        <f t="shared" si="15"/>
        <v/>
      </c>
      <c r="C236" s="24"/>
      <c r="D236" s="24"/>
      <c r="E236" s="24"/>
      <c r="F236" s="24"/>
      <c r="G236" s="24"/>
      <c r="H236" s="24"/>
      <c r="I236" s="24"/>
      <c r="J236" s="29">
        <v>21140914</v>
      </c>
      <c r="K236" s="24"/>
    </row>
    <row r="237" spans="1:11" x14ac:dyDescent="0.2">
      <c r="A237" s="9">
        <v>236</v>
      </c>
      <c r="B237" s="9" t="str">
        <f t="shared" si="15"/>
        <v/>
      </c>
      <c r="C237" s="24"/>
      <c r="D237" s="24"/>
      <c r="E237" s="24"/>
      <c r="F237" s="24"/>
      <c r="G237" s="24"/>
      <c r="H237" s="24"/>
      <c r="I237" s="24"/>
      <c r="J237" s="29">
        <v>21140915</v>
      </c>
      <c r="K237" s="24"/>
    </row>
    <row r="238" spans="1:11" x14ac:dyDescent="0.2">
      <c r="A238" s="9">
        <v>237</v>
      </c>
      <c r="B238" s="9" t="str">
        <f t="shared" si="15"/>
        <v/>
      </c>
      <c r="C238" s="24"/>
      <c r="D238" s="24"/>
      <c r="E238" s="24"/>
      <c r="F238" s="24"/>
      <c r="G238" s="24"/>
      <c r="H238" s="24"/>
      <c r="I238" s="24"/>
      <c r="J238" s="29">
        <v>21154101</v>
      </c>
      <c r="K238" s="24"/>
    </row>
    <row r="239" spans="1:11" x14ac:dyDescent="0.2">
      <c r="A239" s="9">
        <v>238</v>
      </c>
      <c r="B239" s="9" t="str">
        <f t="shared" si="15"/>
        <v/>
      </c>
      <c r="C239" s="24"/>
      <c r="D239" s="24"/>
      <c r="E239" s="24"/>
      <c r="F239" s="24"/>
      <c r="G239" s="24"/>
      <c r="H239" s="24"/>
      <c r="I239" s="24"/>
      <c r="J239" s="29">
        <v>21154102</v>
      </c>
      <c r="K239" s="24"/>
    </row>
    <row r="240" spans="1:11" x14ac:dyDescent="0.2">
      <c r="A240" s="9">
        <v>239</v>
      </c>
      <c r="B240" s="9" t="str">
        <f t="shared" si="15"/>
        <v/>
      </c>
      <c r="C240" s="24"/>
      <c r="D240" s="24"/>
      <c r="E240" s="24"/>
      <c r="F240" s="24"/>
      <c r="G240" s="24"/>
      <c r="H240" s="24"/>
      <c r="I240" s="24"/>
      <c r="J240" s="29">
        <v>21154103</v>
      </c>
      <c r="K240" s="24"/>
    </row>
    <row r="241" spans="1:11" x14ac:dyDescent="0.2">
      <c r="A241" s="9">
        <v>240</v>
      </c>
      <c r="B241" s="9" t="str">
        <f t="shared" si="15"/>
        <v/>
      </c>
      <c r="C241" s="24"/>
      <c r="D241" s="24"/>
      <c r="E241" s="24"/>
      <c r="F241" s="24"/>
      <c r="G241" s="24"/>
      <c r="H241" s="24"/>
      <c r="I241" s="24"/>
      <c r="J241" s="29">
        <v>21154104</v>
      </c>
      <c r="K241" s="24"/>
    </row>
    <row r="242" spans="1:11" x14ac:dyDescent="0.2">
      <c r="A242" s="9">
        <v>241</v>
      </c>
      <c r="B242" s="9" t="str">
        <f t="shared" si="15"/>
        <v/>
      </c>
      <c r="C242" s="24"/>
      <c r="D242" s="24"/>
      <c r="E242" s="24"/>
      <c r="F242" s="24"/>
      <c r="G242" s="24"/>
      <c r="H242" s="24"/>
      <c r="I242" s="24"/>
      <c r="J242" s="29">
        <v>21154105</v>
      </c>
      <c r="K242" s="24"/>
    </row>
    <row r="243" spans="1:11" x14ac:dyDescent="0.2">
      <c r="A243" s="9">
        <v>242</v>
      </c>
      <c r="B243" s="9" t="str">
        <f t="shared" si="15"/>
        <v/>
      </c>
      <c r="C243" s="24"/>
      <c r="D243" s="24"/>
      <c r="E243" s="24"/>
      <c r="F243" s="24"/>
      <c r="G243" s="24"/>
      <c r="H243" s="24"/>
      <c r="I243" s="24"/>
      <c r="J243" s="29">
        <v>21154106</v>
      </c>
      <c r="K243" s="24"/>
    </row>
    <row r="244" spans="1:11" x14ac:dyDescent="0.2">
      <c r="A244" s="9">
        <v>243</v>
      </c>
      <c r="B244" s="9" t="str">
        <f t="shared" si="15"/>
        <v/>
      </c>
      <c r="C244" s="24"/>
      <c r="D244" s="24"/>
      <c r="E244" s="24"/>
      <c r="F244" s="24"/>
      <c r="G244" s="24"/>
      <c r="H244" s="24"/>
      <c r="I244" s="24"/>
      <c r="J244" s="29">
        <v>21154107</v>
      </c>
      <c r="K244" s="24"/>
    </row>
    <row r="245" spans="1:11" x14ac:dyDescent="0.2">
      <c r="A245" s="9">
        <v>244</v>
      </c>
      <c r="B245" s="9" t="str">
        <f t="shared" si="15"/>
        <v/>
      </c>
      <c r="C245" s="24"/>
      <c r="D245" s="24"/>
      <c r="E245" s="24"/>
      <c r="F245" s="24"/>
      <c r="G245" s="24"/>
      <c r="H245" s="24"/>
      <c r="I245" s="24"/>
      <c r="J245" s="29">
        <v>21154108</v>
      </c>
      <c r="K245" s="24"/>
    </row>
    <row r="246" spans="1:11" x14ac:dyDescent="0.2">
      <c r="A246" s="9">
        <v>245</v>
      </c>
      <c r="B246" s="9" t="str">
        <f t="shared" si="15"/>
        <v/>
      </c>
      <c r="C246" s="24"/>
      <c r="D246" s="24"/>
      <c r="E246" s="24"/>
      <c r="F246" s="24"/>
      <c r="G246" s="24"/>
      <c r="H246" s="24"/>
      <c r="I246" s="24"/>
      <c r="J246" s="29">
        <v>21154109</v>
      </c>
      <c r="K246" s="24"/>
    </row>
    <row r="247" spans="1:11" x14ac:dyDescent="0.2">
      <c r="A247" s="9">
        <v>246</v>
      </c>
      <c r="B247" s="9" t="str">
        <f t="shared" si="15"/>
        <v/>
      </c>
      <c r="C247" s="24"/>
      <c r="D247" s="24"/>
      <c r="E247" s="24"/>
      <c r="F247" s="24"/>
      <c r="G247" s="24"/>
      <c r="H247" s="24"/>
      <c r="I247" s="24"/>
      <c r="J247" s="29">
        <v>21154110</v>
      </c>
      <c r="K247" s="24"/>
    </row>
    <row r="248" spans="1:11" x14ac:dyDescent="0.2">
      <c r="A248" s="9">
        <v>247</v>
      </c>
      <c r="B248" s="9" t="str">
        <f t="shared" si="15"/>
        <v/>
      </c>
      <c r="C248" s="24"/>
      <c r="D248" s="24"/>
      <c r="E248" s="24"/>
      <c r="F248" s="24"/>
      <c r="G248" s="24"/>
      <c r="H248" s="24"/>
      <c r="I248" s="24"/>
      <c r="J248" s="29">
        <v>21154111</v>
      </c>
      <c r="K248" s="24"/>
    </row>
    <row r="249" spans="1:11" x14ac:dyDescent="0.2">
      <c r="A249" s="9">
        <v>248</v>
      </c>
      <c r="B249" s="9" t="str">
        <f t="shared" si="15"/>
        <v/>
      </c>
      <c r="C249" s="24"/>
      <c r="D249" s="24"/>
      <c r="E249" s="24"/>
      <c r="F249" s="24"/>
      <c r="G249" s="24"/>
      <c r="H249" s="24"/>
      <c r="I249" s="24"/>
      <c r="J249" s="29">
        <v>21154112</v>
      </c>
      <c r="K249" s="24"/>
    </row>
    <row r="250" spans="1:11" x14ac:dyDescent="0.2">
      <c r="A250" s="9">
        <v>249</v>
      </c>
      <c r="B250" s="9" t="str">
        <f t="shared" si="15"/>
        <v/>
      </c>
      <c r="C250" s="24"/>
      <c r="D250" s="24"/>
      <c r="E250" s="24"/>
      <c r="F250" s="24"/>
      <c r="G250" s="24"/>
      <c r="H250" s="24"/>
      <c r="I250" s="24"/>
      <c r="J250" s="29">
        <v>21154113</v>
      </c>
      <c r="K250" s="24"/>
    </row>
    <row r="251" spans="1:11" x14ac:dyDescent="0.2">
      <c r="A251" s="9">
        <v>250</v>
      </c>
      <c r="B251" s="9" t="str">
        <f t="shared" si="15"/>
        <v/>
      </c>
      <c r="C251" s="24"/>
      <c r="D251" s="24"/>
      <c r="E251" s="24"/>
      <c r="F251" s="24"/>
      <c r="G251" s="24"/>
      <c r="H251" s="24"/>
      <c r="I251" s="24"/>
      <c r="J251" s="29">
        <v>21154114</v>
      </c>
      <c r="K251" s="24"/>
    </row>
    <row r="252" spans="1:11" x14ac:dyDescent="0.2">
      <c r="A252" s="9">
        <v>251</v>
      </c>
      <c r="B252" s="9" t="str">
        <f t="shared" si="15"/>
        <v/>
      </c>
      <c r="C252" s="24"/>
      <c r="D252" s="24"/>
      <c r="E252" s="24"/>
      <c r="F252" s="24"/>
      <c r="G252" s="24"/>
      <c r="H252" s="24"/>
      <c r="I252" s="24"/>
      <c r="J252" s="29">
        <v>21154114</v>
      </c>
      <c r="K252" s="24"/>
    </row>
    <row r="253" spans="1:11" x14ac:dyDescent="0.2">
      <c r="A253" s="9">
        <v>252</v>
      </c>
      <c r="B253" s="9" t="str">
        <f t="shared" si="15"/>
        <v/>
      </c>
      <c r="C253" s="24"/>
      <c r="D253" s="24"/>
      <c r="E253" s="24"/>
      <c r="F253" s="24"/>
      <c r="G253" s="24"/>
      <c r="H253" s="24"/>
      <c r="I253" s="24"/>
      <c r="J253" s="29">
        <v>21154115</v>
      </c>
      <c r="K253" s="24"/>
    </row>
    <row r="254" spans="1:11" x14ac:dyDescent="0.2">
      <c r="A254" s="9">
        <v>253</v>
      </c>
      <c r="B254" s="9" t="str">
        <f t="shared" si="15"/>
        <v/>
      </c>
      <c r="C254" s="24"/>
      <c r="D254" s="24"/>
      <c r="E254" s="24"/>
      <c r="F254" s="24"/>
      <c r="G254" s="24"/>
      <c r="H254" s="24"/>
      <c r="I254" s="24"/>
      <c r="J254" s="29">
        <v>21154116</v>
      </c>
      <c r="K254" s="24"/>
    </row>
    <row r="255" spans="1:11" x14ac:dyDescent="0.2">
      <c r="A255" s="9">
        <v>254</v>
      </c>
      <c r="B255" s="9" t="str">
        <f t="shared" si="15"/>
        <v/>
      </c>
      <c r="C255" s="24"/>
      <c r="D255" s="24"/>
      <c r="E255" s="24"/>
      <c r="F255" s="24"/>
      <c r="G255" s="24"/>
      <c r="H255" s="24"/>
      <c r="I255" s="24"/>
      <c r="J255" s="29">
        <v>21154116</v>
      </c>
      <c r="K255" s="24"/>
    </row>
    <row r="256" spans="1:11" x14ac:dyDescent="0.2">
      <c r="A256" s="9">
        <v>255</v>
      </c>
      <c r="B256" s="9" t="str">
        <f t="shared" si="15"/>
        <v/>
      </c>
      <c r="C256" s="24"/>
      <c r="D256" s="24"/>
      <c r="E256" s="24"/>
      <c r="F256" s="24"/>
      <c r="G256" s="24"/>
      <c r="H256" s="24"/>
      <c r="I256" s="24"/>
      <c r="J256" s="29">
        <v>21154117</v>
      </c>
      <c r="K256" s="24"/>
    </row>
    <row r="257" spans="1:11" x14ac:dyDescent="0.2">
      <c r="A257" s="9">
        <v>256</v>
      </c>
      <c r="B257" s="9" t="str">
        <f t="shared" si="15"/>
        <v/>
      </c>
      <c r="C257" s="24"/>
      <c r="D257" s="24"/>
      <c r="E257" s="24"/>
      <c r="F257" s="24"/>
      <c r="G257" s="24"/>
      <c r="H257" s="24"/>
      <c r="I257" s="24"/>
      <c r="J257" s="29">
        <v>21154118</v>
      </c>
      <c r="K257" s="24"/>
    </row>
    <row r="258" spans="1:11" x14ac:dyDescent="0.2">
      <c r="A258" s="9">
        <v>257</v>
      </c>
      <c r="B258" s="9" t="str">
        <f t="shared" si="15"/>
        <v/>
      </c>
      <c r="C258" s="24"/>
      <c r="D258" s="24"/>
      <c r="E258" s="24"/>
      <c r="F258" s="24"/>
      <c r="G258" s="24"/>
      <c r="H258" s="24"/>
      <c r="I258" s="24"/>
      <c r="J258" s="29">
        <v>21154119</v>
      </c>
      <c r="K258" s="24"/>
    </row>
    <row r="259" spans="1:11" x14ac:dyDescent="0.2">
      <c r="A259" s="9">
        <v>258</v>
      </c>
      <c r="B259" s="9" t="str">
        <f t="shared" si="15"/>
        <v/>
      </c>
      <c r="C259" s="24"/>
      <c r="D259" s="24"/>
      <c r="E259" s="24"/>
      <c r="F259" s="24"/>
      <c r="G259" s="24"/>
      <c r="H259" s="24"/>
      <c r="I259" s="24"/>
      <c r="J259" s="29">
        <v>21154120</v>
      </c>
      <c r="K259" s="24"/>
    </row>
    <row r="260" spans="1:11" x14ac:dyDescent="0.2">
      <c r="A260" s="9">
        <v>259</v>
      </c>
      <c r="B260" s="9" t="str">
        <f t="shared" ref="B260:B323" si="16">IF(HLOOKUP($B$2,$C$2:$K$474,A260,0)=0,"",HLOOKUP($B$2,$C$2:$K$474,A260,0))</f>
        <v/>
      </c>
      <c r="C260" s="24"/>
      <c r="D260" s="24"/>
      <c r="E260" s="24"/>
      <c r="F260" s="24"/>
      <c r="G260" s="24"/>
      <c r="H260" s="24"/>
      <c r="I260" s="24"/>
      <c r="J260" s="29">
        <v>21154121</v>
      </c>
      <c r="K260" s="24"/>
    </row>
    <row r="261" spans="1:11" x14ac:dyDescent="0.2">
      <c r="A261" s="9">
        <v>260</v>
      </c>
      <c r="B261" s="9" t="str">
        <f t="shared" si="16"/>
        <v/>
      </c>
      <c r="C261" s="24"/>
      <c r="D261" s="24"/>
      <c r="E261" s="24"/>
      <c r="F261" s="24"/>
      <c r="G261" s="24"/>
      <c r="H261" s="24"/>
      <c r="I261" s="24"/>
      <c r="J261" s="29">
        <v>21154122</v>
      </c>
      <c r="K261" s="24"/>
    </row>
    <row r="262" spans="1:11" x14ac:dyDescent="0.2">
      <c r="A262" s="9">
        <v>261</v>
      </c>
      <c r="B262" s="9" t="str">
        <f t="shared" si="16"/>
        <v/>
      </c>
      <c r="C262" s="24"/>
      <c r="D262" s="24"/>
      <c r="E262" s="24"/>
      <c r="F262" s="24"/>
      <c r="G262" s="24"/>
      <c r="H262" s="24"/>
      <c r="I262" s="24"/>
      <c r="J262" s="29">
        <v>21154124</v>
      </c>
      <c r="K262" s="24"/>
    </row>
    <row r="263" spans="1:11" x14ac:dyDescent="0.2">
      <c r="A263" s="9">
        <v>262</v>
      </c>
      <c r="B263" s="9" t="str">
        <f t="shared" si="16"/>
        <v/>
      </c>
      <c r="C263" s="24"/>
      <c r="D263" s="24"/>
      <c r="E263" s="24"/>
      <c r="F263" s="24"/>
      <c r="G263" s="24"/>
      <c r="H263" s="24"/>
      <c r="I263" s="24"/>
      <c r="J263" s="29">
        <v>21154125</v>
      </c>
      <c r="K263" s="24"/>
    </row>
    <row r="264" spans="1:11" x14ac:dyDescent="0.2">
      <c r="A264" s="9">
        <v>263</v>
      </c>
      <c r="B264" s="9" t="str">
        <f t="shared" si="16"/>
        <v/>
      </c>
      <c r="C264" s="24"/>
      <c r="D264" s="24"/>
      <c r="E264" s="24"/>
      <c r="F264" s="24"/>
      <c r="G264" s="24"/>
      <c r="H264" s="24"/>
      <c r="I264" s="24"/>
      <c r="J264" s="29">
        <v>21154126</v>
      </c>
      <c r="K264" s="24"/>
    </row>
    <row r="265" spans="1:11" x14ac:dyDescent="0.2">
      <c r="A265" s="9">
        <v>264</v>
      </c>
      <c r="B265" s="9" t="str">
        <f t="shared" si="16"/>
        <v/>
      </c>
      <c r="C265" s="24"/>
      <c r="D265" s="24"/>
      <c r="E265" s="24"/>
      <c r="F265" s="24"/>
      <c r="G265" s="24"/>
      <c r="H265" s="24"/>
      <c r="I265" s="24"/>
      <c r="J265" s="29">
        <v>21154127</v>
      </c>
      <c r="K265" s="24"/>
    </row>
    <row r="266" spans="1:11" x14ac:dyDescent="0.2">
      <c r="A266" s="9">
        <v>265</v>
      </c>
      <c r="B266" s="9" t="str">
        <f t="shared" si="16"/>
        <v/>
      </c>
      <c r="C266" s="24"/>
      <c r="D266" s="24"/>
      <c r="E266" s="24"/>
      <c r="F266" s="24"/>
      <c r="G266" s="24"/>
      <c r="H266" s="24"/>
      <c r="I266" s="24"/>
      <c r="J266" s="29">
        <v>21154128</v>
      </c>
      <c r="K266" s="24"/>
    </row>
    <row r="267" spans="1:11" x14ac:dyDescent="0.2">
      <c r="A267" s="9">
        <v>266</v>
      </c>
      <c r="B267" s="9" t="str">
        <f t="shared" si="16"/>
        <v/>
      </c>
      <c r="C267" s="24"/>
      <c r="D267" s="24"/>
      <c r="E267" s="24"/>
      <c r="F267" s="24"/>
      <c r="G267" s="24"/>
      <c r="H267" s="24"/>
      <c r="I267" s="24"/>
      <c r="J267" s="29">
        <v>21154129</v>
      </c>
      <c r="K267" s="24"/>
    </row>
    <row r="268" spans="1:11" x14ac:dyDescent="0.2">
      <c r="A268" s="9">
        <v>267</v>
      </c>
      <c r="B268" s="9" t="str">
        <f t="shared" si="16"/>
        <v/>
      </c>
      <c r="C268" s="24"/>
      <c r="D268" s="24"/>
      <c r="E268" s="24"/>
      <c r="F268" s="24"/>
      <c r="G268" s="24"/>
      <c r="H268" s="24"/>
      <c r="I268" s="24"/>
      <c r="J268" s="29">
        <v>21154130</v>
      </c>
      <c r="K268" s="24"/>
    </row>
    <row r="269" spans="1:11" x14ac:dyDescent="0.2">
      <c r="A269" s="9">
        <v>268</v>
      </c>
      <c r="B269" s="9" t="str">
        <f t="shared" si="16"/>
        <v/>
      </c>
      <c r="C269" s="24"/>
      <c r="D269" s="24"/>
      <c r="E269" s="24"/>
      <c r="F269" s="24"/>
      <c r="G269" s="24"/>
      <c r="H269" s="24"/>
      <c r="I269" s="24"/>
      <c r="J269" s="29">
        <v>21154131</v>
      </c>
      <c r="K269" s="24"/>
    </row>
    <row r="270" spans="1:11" x14ac:dyDescent="0.2">
      <c r="A270" s="9">
        <v>269</v>
      </c>
      <c r="B270" s="9" t="str">
        <f t="shared" si="16"/>
        <v/>
      </c>
      <c r="C270" s="24"/>
      <c r="D270" s="24"/>
      <c r="E270" s="24"/>
      <c r="F270" s="24"/>
      <c r="G270" s="24"/>
      <c r="H270" s="24"/>
      <c r="I270" s="24"/>
      <c r="J270" s="29">
        <v>21154132</v>
      </c>
      <c r="K270" s="24"/>
    </row>
    <row r="271" spans="1:11" x14ac:dyDescent="0.2">
      <c r="A271" s="9">
        <v>270</v>
      </c>
      <c r="B271" s="9" t="str">
        <f t="shared" si="16"/>
        <v/>
      </c>
      <c r="C271" s="24"/>
      <c r="D271" s="24"/>
      <c r="E271" s="24"/>
      <c r="F271" s="24"/>
      <c r="G271" s="24"/>
      <c r="H271" s="24"/>
      <c r="I271" s="24"/>
      <c r="J271" s="29">
        <v>21154133</v>
      </c>
      <c r="K271" s="24"/>
    </row>
    <row r="272" spans="1:11" x14ac:dyDescent="0.2">
      <c r="A272" s="9">
        <v>271</v>
      </c>
      <c r="B272" s="9" t="str">
        <f t="shared" si="16"/>
        <v/>
      </c>
      <c r="C272" s="24"/>
      <c r="D272" s="24"/>
      <c r="E272" s="24"/>
      <c r="F272" s="24"/>
      <c r="G272" s="24"/>
      <c r="H272" s="24"/>
      <c r="I272" s="24"/>
      <c r="J272" s="29">
        <v>21154134</v>
      </c>
      <c r="K272" s="24"/>
    </row>
    <row r="273" spans="1:11" x14ac:dyDescent="0.2">
      <c r="A273" s="9">
        <v>272</v>
      </c>
      <c r="B273" s="9" t="str">
        <f t="shared" si="16"/>
        <v/>
      </c>
      <c r="C273" s="24"/>
      <c r="D273" s="24"/>
      <c r="E273" s="24"/>
      <c r="F273" s="24"/>
      <c r="G273" s="24"/>
      <c r="H273" s="24"/>
      <c r="I273" s="24"/>
      <c r="J273" s="29">
        <v>21154135</v>
      </c>
      <c r="K273" s="24"/>
    </row>
    <row r="274" spans="1:11" x14ac:dyDescent="0.2">
      <c r="A274" s="9">
        <v>273</v>
      </c>
      <c r="B274" s="9" t="str">
        <f t="shared" si="16"/>
        <v/>
      </c>
      <c r="C274" s="24"/>
      <c r="D274" s="24"/>
      <c r="E274" s="24"/>
      <c r="F274" s="24"/>
      <c r="G274" s="24"/>
      <c r="H274" s="24"/>
      <c r="I274" s="24"/>
      <c r="J274" s="29">
        <v>21154136</v>
      </c>
      <c r="K274" s="24"/>
    </row>
    <row r="275" spans="1:11" x14ac:dyDescent="0.2">
      <c r="A275" s="9">
        <v>274</v>
      </c>
      <c r="B275" s="9" t="str">
        <f t="shared" si="16"/>
        <v/>
      </c>
      <c r="C275" s="24"/>
      <c r="D275" s="24"/>
      <c r="E275" s="24"/>
      <c r="F275" s="24"/>
      <c r="G275" s="24"/>
      <c r="H275" s="24"/>
      <c r="I275" s="24"/>
      <c r="J275" s="29">
        <v>21154137</v>
      </c>
      <c r="K275" s="24"/>
    </row>
    <row r="276" spans="1:11" x14ac:dyDescent="0.2">
      <c r="A276" s="9">
        <v>275</v>
      </c>
      <c r="B276" s="9" t="str">
        <f t="shared" si="16"/>
        <v/>
      </c>
      <c r="C276" s="24"/>
      <c r="D276" s="24"/>
      <c r="E276" s="24"/>
      <c r="F276" s="24"/>
      <c r="G276" s="24"/>
      <c r="H276" s="24"/>
      <c r="I276" s="24"/>
      <c r="J276" s="29">
        <v>21154138</v>
      </c>
      <c r="K276" s="24"/>
    </row>
    <row r="277" spans="1:11" x14ac:dyDescent="0.2">
      <c r="A277" s="9">
        <v>276</v>
      </c>
      <c r="B277" s="9" t="str">
        <f t="shared" si="16"/>
        <v/>
      </c>
      <c r="C277" s="24"/>
      <c r="D277" s="24"/>
      <c r="E277" s="24"/>
      <c r="F277" s="24"/>
      <c r="G277" s="24"/>
      <c r="H277" s="24"/>
      <c r="I277" s="24"/>
      <c r="J277" s="29">
        <v>21154139</v>
      </c>
      <c r="K277" s="24"/>
    </row>
    <row r="278" spans="1:11" x14ac:dyDescent="0.2">
      <c r="A278" s="9">
        <v>277</v>
      </c>
      <c r="B278" s="9" t="str">
        <f t="shared" si="16"/>
        <v/>
      </c>
      <c r="C278" s="24"/>
      <c r="D278" s="24"/>
      <c r="E278" s="24"/>
      <c r="F278" s="24"/>
      <c r="G278" s="24"/>
      <c r="H278" s="24"/>
      <c r="I278" s="24"/>
      <c r="J278" s="29">
        <v>21154140</v>
      </c>
      <c r="K278" s="24"/>
    </row>
    <row r="279" spans="1:11" x14ac:dyDescent="0.2">
      <c r="A279" s="9">
        <v>278</v>
      </c>
      <c r="B279" s="9" t="str">
        <f t="shared" si="16"/>
        <v/>
      </c>
      <c r="C279" s="24"/>
      <c r="D279" s="24"/>
      <c r="E279" s="24"/>
      <c r="F279" s="24"/>
      <c r="G279" s="24"/>
      <c r="H279" s="24"/>
      <c r="I279" s="24"/>
      <c r="J279" s="29">
        <v>21154140</v>
      </c>
      <c r="K279" s="24"/>
    </row>
    <row r="280" spans="1:11" x14ac:dyDescent="0.2">
      <c r="A280" s="9">
        <v>279</v>
      </c>
      <c r="B280" s="9" t="str">
        <f t="shared" si="16"/>
        <v/>
      </c>
      <c r="C280" s="24"/>
      <c r="D280" s="24"/>
      <c r="E280" s="24"/>
      <c r="F280" s="24"/>
      <c r="G280" s="24"/>
      <c r="H280" s="24"/>
      <c r="I280" s="24"/>
      <c r="J280" s="29">
        <v>21154143</v>
      </c>
      <c r="K280" s="24"/>
    </row>
    <row r="281" spans="1:11" x14ac:dyDescent="0.2">
      <c r="A281" s="9">
        <v>280</v>
      </c>
      <c r="B281" s="9" t="str">
        <f t="shared" si="16"/>
        <v/>
      </c>
      <c r="C281" s="24"/>
      <c r="D281" s="24"/>
      <c r="E281" s="24"/>
      <c r="F281" s="24"/>
      <c r="G281" s="24"/>
      <c r="H281" s="24"/>
      <c r="I281" s="24"/>
      <c r="J281" s="29">
        <v>21154144</v>
      </c>
      <c r="K281" s="24"/>
    </row>
    <row r="282" spans="1:11" x14ac:dyDescent="0.2">
      <c r="A282" s="9">
        <v>281</v>
      </c>
      <c r="B282" s="9" t="str">
        <f t="shared" si="16"/>
        <v/>
      </c>
      <c r="C282" s="24"/>
      <c r="D282" s="24"/>
      <c r="E282" s="24"/>
      <c r="F282" s="24"/>
      <c r="G282" s="24"/>
      <c r="H282" s="24"/>
      <c r="I282" s="24"/>
      <c r="J282" s="29">
        <v>21177401</v>
      </c>
      <c r="K282" s="24"/>
    </row>
    <row r="283" spans="1:11" x14ac:dyDescent="0.2">
      <c r="A283" s="9">
        <v>282</v>
      </c>
      <c r="B283" s="9" t="str">
        <f t="shared" si="16"/>
        <v/>
      </c>
      <c r="C283" s="24"/>
      <c r="D283" s="24"/>
      <c r="E283" s="24"/>
      <c r="F283" s="24"/>
      <c r="G283" s="24"/>
      <c r="H283" s="24"/>
      <c r="I283" s="24"/>
      <c r="J283" s="29">
        <v>21177402</v>
      </c>
      <c r="K283" s="24"/>
    </row>
    <row r="284" spans="1:11" x14ac:dyDescent="0.2">
      <c r="A284" s="9">
        <v>283</v>
      </c>
      <c r="B284" s="9" t="str">
        <f t="shared" si="16"/>
        <v/>
      </c>
      <c r="C284" s="24"/>
      <c r="D284" s="24"/>
      <c r="E284" s="24"/>
      <c r="F284" s="24"/>
      <c r="G284" s="24"/>
      <c r="H284" s="24"/>
      <c r="I284" s="24"/>
      <c r="J284" s="29">
        <v>21177403</v>
      </c>
      <c r="K284" s="24"/>
    </row>
    <row r="285" spans="1:11" x14ac:dyDescent="0.2">
      <c r="A285" s="9">
        <v>284</v>
      </c>
      <c r="B285" s="9" t="str">
        <f t="shared" si="16"/>
        <v/>
      </c>
      <c r="C285" s="24"/>
      <c r="D285" s="24"/>
      <c r="E285" s="24"/>
      <c r="F285" s="24"/>
      <c r="G285" s="24"/>
      <c r="H285" s="24"/>
      <c r="I285" s="24"/>
      <c r="J285" s="29">
        <v>21182201</v>
      </c>
      <c r="K285" s="24"/>
    </row>
    <row r="286" spans="1:11" x14ac:dyDescent="0.2">
      <c r="A286" s="9">
        <v>285</v>
      </c>
      <c r="B286" s="9" t="str">
        <f t="shared" si="16"/>
        <v/>
      </c>
      <c r="C286" s="24"/>
      <c r="D286" s="24"/>
      <c r="E286" s="24"/>
      <c r="F286" s="24"/>
      <c r="G286" s="24"/>
      <c r="H286" s="24"/>
      <c r="I286" s="24"/>
      <c r="J286" s="29">
        <v>21182301</v>
      </c>
      <c r="K286" s="24"/>
    </row>
    <row r="287" spans="1:11" x14ac:dyDescent="0.2">
      <c r="A287" s="9">
        <v>286</v>
      </c>
      <c r="B287" s="9" t="str">
        <f t="shared" si="16"/>
        <v/>
      </c>
      <c r="C287" s="24"/>
      <c r="D287" s="24"/>
      <c r="E287" s="24"/>
      <c r="F287" s="24"/>
      <c r="G287" s="24"/>
      <c r="H287" s="24"/>
      <c r="I287" s="24"/>
      <c r="J287" s="29">
        <v>21182302</v>
      </c>
      <c r="K287" s="24"/>
    </row>
    <row r="288" spans="1:11" x14ac:dyDescent="0.2">
      <c r="A288" s="9">
        <v>287</v>
      </c>
      <c r="B288" s="9" t="str">
        <f t="shared" si="16"/>
        <v/>
      </c>
      <c r="C288" s="24"/>
      <c r="D288" s="24"/>
      <c r="E288" s="24"/>
      <c r="F288" s="24"/>
      <c r="G288" s="24"/>
      <c r="H288" s="24"/>
      <c r="I288" s="24"/>
      <c r="J288" s="29">
        <v>21233301</v>
      </c>
      <c r="K288" s="24"/>
    </row>
    <row r="289" spans="1:11" x14ac:dyDescent="0.2">
      <c r="A289" s="9">
        <v>288</v>
      </c>
      <c r="B289" s="9" t="str">
        <f t="shared" si="16"/>
        <v/>
      </c>
      <c r="C289" s="24"/>
      <c r="D289" s="24"/>
      <c r="E289" s="24"/>
      <c r="F289" s="24"/>
      <c r="G289" s="24"/>
      <c r="H289" s="24"/>
      <c r="I289" s="24"/>
      <c r="J289" s="29">
        <v>21233302</v>
      </c>
      <c r="K289" s="24"/>
    </row>
    <row r="290" spans="1:11" x14ac:dyDescent="0.2">
      <c r="A290" s="9">
        <v>289</v>
      </c>
      <c r="B290" s="9" t="str">
        <f t="shared" si="16"/>
        <v/>
      </c>
      <c r="C290" s="24"/>
      <c r="D290" s="24"/>
      <c r="E290" s="24"/>
      <c r="F290" s="24"/>
      <c r="G290" s="24"/>
      <c r="H290" s="24"/>
      <c r="I290" s="24"/>
      <c r="J290" s="29">
        <v>21233303</v>
      </c>
      <c r="K290" s="24"/>
    </row>
    <row r="291" spans="1:11" x14ac:dyDescent="0.2">
      <c r="A291" s="9">
        <v>290</v>
      </c>
      <c r="B291" s="9" t="str">
        <f t="shared" si="16"/>
        <v/>
      </c>
      <c r="C291" s="24"/>
      <c r="D291" s="24"/>
      <c r="E291" s="24"/>
      <c r="F291" s="24"/>
      <c r="G291" s="24"/>
      <c r="H291" s="24"/>
      <c r="I291" s="24"/>
      <c r="J291" s="29">
        <v>21233303</v>
      </c>
      <c r="K291" s="24"/>
    </row>
    <row r="292" spans="1:11" x14ac:dyDescent="0.2">
      <c r="A292" s="9">
        <v>291</v>
      </c>
      <c r="B292" s="9" t="str">
        <f t="shared" si="16"/>
        <v/>
      </c>
      <c r="C292" s="24"/>
      <c r="D292" s="24"/>
      <c r="E292" s="24"/>
      <c r="F292" s="24"/>
      <c r="G292" s="24"/>
      <c r="H292" s="24"/>
      <c r="I292" s="24"/>
      <c r="J292" s="29">
        <v>21233304</v>
      </c>
      <c r="K292" s="24"/>
    </row>
    <row r="293" spans="1:11" x14ac:dyDescent="0.2">
      <c r="A293" s="9">
        <v>292</v>
      </c>
      <c r="B293" s="9" t="str">
        <f t="shared" si="16"/>
        <v/>
      </c>
      <c r="C293" s="24"/>
      <c r="D293" s="24"/>
      <c r="E293" s="24"/>
      <c r="F293" s="24"/>
      <c r="G293" s="24"/>
      <c r="H293" s="24"/>
      <c r="I293" s="24"/>
      <c r="J293" s="29">
        <v>21247301</v>
      </c>
      <c r="K293" s="24"/>
    </row>
    <row r="294" spans="1:11" x14ac:dyDescent="0.2">
      <c r="A294" s="9">
        <v>293</v>
      </c>
      <c r="B294" s="9" t="str">
        <f t="shared" si="16"/>
        <v/>
      </c>
      <c r="C294" s="24"/>
      <c r="D294" s="24"/>
      <c r="E294" s="24"/>
      <c r="F294" s="24"/>
      <c r="G294" s="24"/>
      <c r="H294" s="24"/>
      <c r="I294" s="24"/>
      <c r="J294" s="29">
        <v>21255001</v>
      </c>
      <c r="K294" s="24"/>
    </row>
    <row r="295" spans="1:11" x14ac:dyDescent="0.2">
      <c r="A295" s="9">
        <v>294</v>
      </c>
      <c r="B295" s="9" t="str">
        <f t="shared" si="16"/>
        <v/>
      </c>
      <c r="C295" s="24"/>
      <c r="D295" s="24"/>
      <c r="E295" s="24"/>
      <c r="F295" s="24"/>
      <c r="G295" s="24"/>
      <c r="H295" s="24"/>
      <c r="I295" s="24"/>
      <c r="J295" s="29">
        <v>21255002</v>
      </c>
      <c r="K295" s="24"/>
    </row>
    <row r="296" spans="1:11" x14ac:dyDescent="0.2">
      <c r="A296" s="9">
        <v>295</v>
      </c>
      <c r="B296" s="9" t="str">
        <f t="shared" si="16"/>
        <v/>
      </c>
      <c r="C296" s="24"/>
      <c r="D296" s="24"/>
      <c r="E296" s="24"/>
      <c r="F296" s="24"/>
      <c r="G296" s="24"/>
      <c r="H296" s="24"/>
      <c r="I296" s="24"/>
      <c r="J296" s="29">
        <v>21255003</v>
      </c>
      <c r="K296" s="24"/>
    </row>
    <row r="297" spans="1:11" x14ac:dyDescent="0.2">
      <c r="A297" s="9">
        <v>296</v>
      </c>
      <c r="B297" s="9" t="str">
        <f t="shared" si="16"/>
        <v/>
      </c>
      <c r="C297" s="24"/>
      <c r="D297" s="24"/>
      <c r="E297" s="24"/>
      <c r="F297" s="24"/>
      <c r="G297" s="24"/>
      <c r="H297" s="24"/>
      <c r="I297" s="24"/>
      <c r="J297" s="29">
        <v>21311101</v>
      </c>
      <c r="K297" s="24"/>
    </row>
    <row r="298" spans="1:11" x14ac:dyDescent="0.2">
      <c r="A298" s="9">
        <v>297</v>
      </c>
      <c r="B298" s="9" t="str">
        <f t="shared" si="16"/>
        <v/>
      </c>
      <c r="C298" s="24"/>
      <c r="D298" s="24"/>
      <c r="E298" s="24"/>
      <c r="F298" s="24"/>
      <c r="G298" s="24"/>
      <c r="H298" s="24"/>
      <c r="I298" s="24"/>
      <c r="J298" s="29">
        <v>21311102</v>
      </c>
      <c r="K298" s="24"/>
    </row>
    <row r="299" spans="1:11" x14ac:dyDescent="0.2">
      <c r="A299" s="9">
        <v>298</v>
      </c>
      <c r="B299" s="9" t="str">
        <f t="shared" si="16"/>
        <v/>
      </c>
      <c r="C299" s="24"/>
      <c r="D299" s="24"/>
      <c r="E299" s="24"/>
      <c r="F299" s="24"/>
      <c r="G299" s="24"/>
      <c r="H299" s="24"/>
      <c r="I299" s="24"/>
      <c r="J299" s="29">
        <v>21311103</v>
      </c>
      <c r="K299" s="24"/>
    </row>
    <row r="300" spans="1:11" x14ac:dyDescent="0.2">
      <c r="A300" s="9">
        <v>299</v>
      </c>
      <c r="B300" s="9" t="str">
        <f t="shared" si="16"/>
        <v/>
      </c>
      <c r="C300" s="24"/>
      <c r="D300" s="24"/>
      <c r="E300" s="24"/>
      <c r="F300" s="24"/>
      <c r="G300" s="24"/>
      <c r="H300" s="24"/>
      <c r="I300" s="24"/>
      <c r="J300" s="29">
        <v>21358101</v>
      </c>
      <c r="K300" s="24"/>
    </row>
    <row r="301" spans="1:11" x14ac:dyDescent="0.2">
      <c r="A301" s="9">
        <v>300</v>
      </c>
      <c r="B301" s="9" t="str">
        <f t="shared" si="16"/>
        <v/>
      </c>
      <c r="C301" s="24"/>
      <c r="D301" s="24"/>
      <c r="E301" s="24"/>
      <c r="F301" s="24"/>
      <c r="G301" s="24"/>
      <c r="H301" s="24"/>
      <c r="I301" s="24"/>
      <c r="J301" s="29">
        <v>21358102</v>
      </c>
      <c r="K301" s="24"/>
    </row>
    <row r="302" spans="1:11" x14ac:dyDescent="0.2">
      <c r="A302" s="9">
        <v>301</v>
      </c>
      <c r="B302" s="9" t="str">
        <f t="shared" si="16"/>
        <v/>
      </c>
      <c r="C302" s="24"/>
      <c r="D302" s="24"/>
      <c r="E302" s="24"/>
      <c r="F302" s="24"/>
      <c r="G302" s="24"/>
      <c r="H302" s="24"/>
      <c r="I302" s="24"/>
      <c r="J302" s="29">
        <v>21358103</v>
      </c>
      <c r="K302" s="24"/>
    </row>
    <row r="303" spans="1:11" x14ac:dyDescent="0.2">
      <c r="A303" s="9">
        <v>302</v>
      </c>
      <c r="B303" s="9" t="str">
        <f t="shared" si="16"/>
        <v/>
      </c>
      <c r="C303" s="24"/>
      <c r="D303" s="24"/>
      <c r="E303" s="24"/>
      <c r="F303" s="24"/>
      <c r="G303" s="24"/>
      <c r="H303" s="24"/>
      <c r="I303" s="24"/>
      <c r="J303" s="29">
        <v>21358104</v>
      </c>
      <c r="K303" s="24"/>
    </row>
    <row r="304" spans="1:11" x14ac:dyDescent="0.2">
      <c r="A304" s="9">
        <v>303</v>
      </c>
      <c r="B304" s="9" t="str">
        <f t="shared" si="16"/>
        <v/>
      </c>
      <c r="C304" s="24"/>
      <c r="D304" s="24"/>
      <c r="E304" s="24"/>
      <c r="F304" s="24"/>
      <c r="G304" s="24"/>
      <c r="H304" s="24"/>
      <c r="I304" s="24"/>
      <c r="J304" s="29">
        <v>21394101</v>
      </c>
      <c r="K304" s="24"/>
    </row>
    <row r="305" spans="1:11" x14ac:dyDescent="0.2">
      <c r="A305" s="9">
        <v>304</v>
      </c>
      <c r="B305" s="9" t="str">
        <f t="shared" si="16"/>
        <v/>
      </c>
      <c r="C305" s="24"/>
      <c r="D305" s="24"/>
      <c r="E305" s="24"/>
      <c r="F305" s="24"/>
      <c r="G305" s="24"/>
      <c r="H305" s="24"/>
      <c r="I305" s="24"/>
      <c r="J305" s="29">
        <v>21394102</v>
      </c>
      <c r="K305" s="24"/>
    </row>
    <row r="306" spans="1:11" x14ac:dyDescent="0.2">
      <c r="A306" s="9">
        <v>305</v>
      </c>
      <c r="B306" s="9" t="str">
        <f t="shared" si="16"/>
        <v/>
      </c>
      <c r="C306" s="24"/>
      <c r="D306" s="24"/>
      <c r="E306" s="24"/>
      <c r="F306" s="24"/>
      <c r="G306" s="24"/>
      <c r="H306" s="24"/>
      <c r="I306" s="24"/>
      <c r="J306" s="29">
        <v>21394103</v>
      </c>
      <c r="K306" s="24"/>
    </row>
    <row r="307" spans="1:11" x14ac:dyDescent="0.2">
      <c r="A307" s="9">
        <v>306</v>
      </c>
      <c r="B307" s="9" t="str">
        <f t="shared" si="16"/>
        <v/>
      </c>
      <c r="C307" s="24"/>
      <c r="D307" s="24"/>
      <c r="E307" s="24"/>
      <c r="F307" s="24"/>
      <c r="G307" s="24"/>
      <c r="H307" s="24"/>
      <c r="I307" s="24"/>
      <c r="J307" s="29">
        <v>21394104</v>
      </c>
      <c r="K307" s="24"/>
    </row>
    <row r="308" spans="1:11" x14ac:dyDescent="0.2">
      <c r="A308" s="9">
        <v>307</v>
      </c>
      <c r="B308" s="9" t="str">
        <f t="shared" si="16"/>
        <v/>
      </c>
      <c r="C308" s="24"/>
      <c r="D308" s="24"/>
      <c r="E308" s="24"/>
      <c r="F308" s="24"/>
      <c r="G308" s="24"/>
      <c r="H308" s="24"/>
      <c r="I308" s="24"/>
      <c r="J308" s="29">
        <v>21394105</v>
      </c>
      <c r="K308" s="24"/>
    </row>
    <row r="309" spans="1:11" x14ac:dyDescent="0.2">
      <c r="A309" s="9">
        <v>308</v>
      </c>
      <c r="B309" s="9" t="str">
        <f t="shared" si="16"/>
        <v/>
      </c>
      <c r="C309" s="24"/>
      <c r="D309" s="24"/>
      <c r="E309" s="24"/>
      <c r="F309" s="24"/>
      <c r="G309" s="24"/>
      <c r="H309" s="24"/>
      <c r="I309" s="24"/>
      <c r="J309" s="29">
        <v>21394106</v>
      </c>
      <c r="K309" s="24"/>
    </row>
    <row r="310" spans="1:11" x14ac:dyDescent="0.2">
      <c r="A310" s="9">
        <v>309</v>
      </c>
      <c r="B310" s="9" t="str">
        <f t="shared" si="16"/>
        <v/>
      </c>
      <c r="C310" s="24"/>
      <c r="D310" s="24"/>
      <c r="E310" s="24"/>
      <c r="F310" s="24"/>
      <c r="G310" s="24"/>
      <c r="H310" s="24"/>
      <c r="I310" s="24"/>
      <c r="J310" s="29">
        <v>21394106</v>
      </c>
      <c r="K310" s="24"/>
    </row>
    <row r="311" spans="1:11" x14ac:dyDescent="0.2">
      <c r="A311" s="9">
        <v>310</v>
      </c>
      <c r="B311" s="9" t="str">
        <f t="shared" si="16"/>
        <v/>
      </c>
      <c r="C311" s="24"/>
      <c r="D311" s="24"/>
      <c r="E311" s="24"/>
      <c r="F311" s="24"/>
      <c r="G311" s="24"/>
      <c r="H311" s="24"/>
      <c r="I311" s="24"/>
      <c r="J311" s="29">
        <v>21394107</v>
      </c>
      <c r="K311" s="24"/>
    </row>
    <row r="312" spans="1:11" x14ac:dyDescent="0.2">
      <c r="A312" s="9">
        <v>311</v>
      </c>
      <c r="B312" s="9" t="str">
        <f t="shared" si="16"/>
        <v/>
      </c>
      <c r="C312" s="24"/>
      <c r="D312" s="24"/>
      <c r="E312" s="24"/>
      <c r="F312" s="24"/>
      <c r="G312" s="24"/>
      <c r="H312" s="24"/>
      <c r="I312" s="24"/>
      <c r="J312" s="29">
        <v>21394108</v>
      </c>
      <c r="K312" s="24"/>
    </row>
    <row r="313" spans="1:11" x14ac:dyDescent="0.2">
      <c r="A313" s="9">
        <v>312</v>
      </c>
      <c r="B313" s="9" t="str">
        <f t="shared" si="16"/>
        <v/>
      </c>
      <c r="C313" s="24"/>
      <c r="D313" s="24"/>
      <c r="E313" s="24"/>
      <c r="F313" s="24"/>
      <c r="G313" s="24"/>
      <c r="H313" s="24"/>
      <c r="I313" s="24"/>
      <c r="J313" s="29">
        <v>21409501</v>
      </c>
      <c r="K313" s="24"/>
    </row>
    <row r="314" spans="1:11" x14ac:dyDescent="0.2">
      <c r="A314" s="9">
        <v>313</v>
      </c>
      <c r="B314" s="9" t="str">
        <f t="shared" si="16"/>
        <v/>
      </c>
      <c r="C314" s="24"/>
      <c r="D314" s="24"/>
      <c r="E314" s="24"/>
      <c r="F314" s="24"/>
      <c r="G314" s="24"/>
      <c r="H314" s="24"/>
      <c r="I314" s="24"/>
      <c r="J314" s="29">
        <v>21436501</v>
      </c>
      <c r="K314" s="24"/>
    </row>
    <row r="315" spans="1:11" x14ac:dyDescent="0.2">
      <c r="A315" s="9">
        <v>314</v>
      </c>
      <c r="B315" s="9" t="str">
        <f t="shared" si="16"/>
        <v/>
      </c>
      <c r="C315" s="24"/>
      <c r="D315" s="24"/>
      <c r="E315" s="24"/>
      <c r="F315" s="24"/>
      <c r="G315" s="24"/>
      <c r="H315" s="24"/>
      <c r="I315" s="24"/>
      <c r="J315" s="29">
        <v>21436502</v>
      </c>
      <c r="K315" s="24"/>
    </row>
    <row r="316" spans="1:11" x14ac:dyDescent="0.2">
      <c r="A316" s="9">
        <v>315</v>
      </c>
      <c r="B316" s="9" t="str">
        <f t="shared" si="16"/>
        <v/>
      </c>
      <c r="C316" s="24"/>
      <c r="D316" s="24"/>
      <c r="E316" s="24"/>
      <c r="F316" s="24"/>
      <c r="G316" s="24"/>
      <c r="H316" s="24"/>
      <c r="I316" s="24"/>
      <c r="J316" s="29">
        <v>21436503</v>
      </c>
      <c r="K316" s="24"/>
    </row>
    <row r="317" spans="1:11" x14ac:dyDescent="0.2">
      <c r="A317" s="9">
        <v>316</v>
      </c>
      <c r="B317" s="9" t="str">
        <f t="shared" si="16"/>
        <v/>
      </c>
      <c r="C317" s="24"/>
      <c r="D317" s="24"/>
      <c r="E317" s="24"/>
      <c r="F317" s="24"/>
      <c r="G317" s="24"/>
      <c r="H317" s="24"/>
      <c r="I317" s="24"/>
      <c r="J317" s="29">
        <v>21445601</v>
      </c>
      <c r="K317" s="24"/>
    </row>
    <row r="318" spans="1:11" x14ac:dyDescent="0.2">
      <c r="A318" s="9">
        <v>317</v>
      </c>
      <c r="B318" s="9" t="str">
        <f t="shared" si="16"/>
        <v/>
      </c>
      <c r="C318" s="24"/>
      <c r="D318" s="24"/>
      <c r="E318" s="24"/>
      <c r="F318" s="24"/>
      <c r="G318" s="24"/>
      <c r="H318" s="24"/>
      <c r="I318" s="24"/>
      <c r="J318" s="29">
        <v>21681401</v>
      </c>
      <c r="K318" s="24"/>
    </row>
    <row r="319" spans="1:11" x14ac:dyDescent="0.2">
      <c r="A319" s="9">
        <v>318</v>
      </c>
      <c r="B319" s="9" t="str">
        <f t="shared" si="16"/>
        <v/>
      </c>
      <c r="C319" s="24"/>
      <c r="D319" s="24"/>
      <c r="E319" s="24"/>
      <c r="F319" s="24"/>
      <c r="G319" s="24"/>
      <c r="H319" s="24"/>
      <c r="I319" s="24"/>
      <c r="J319" s="29">
        <v>21713501</v>
      </c>
      <c r="K319" s="24"/>
    </row>
    <row r="320" spans="1:11" x14ac:dyDescent="0.2">
      <c r="A320" s="9">
        <v>319</v>
      </c>
      <c r="B320" s="9" t="str">
        <f t="shared" si="16"/>
        <v/>
      </c>
      <c r="C320" s="24"/>
      <c r="D320" s="24"/>
      <c r="E320" s="24"/>
      <c r="F320" s="24"/>
      <c r="G320" s="24"/>
      <c r="H320" s="24"/>
      <c r="I320" s="24"/>
      <c r="J320" s="29">
        <v>21713502</v>
      </c>
      <c r="K320" s="24"/>
    </row>
    <row r="321" spans="1:11" x14ac:dyDescent="0.2">
      <c r="A321" s="9">
        <v>320</v>
      </c>
      <c r="B321" s="9" t="str">
        <f t="shared" si="16"/>
        <v/>
      </c>
      <c r="C321" s="24"/>
      <c r="D321" s="24"/>
      <c r="E321" s="24"/>
      <c r="F321" s="24"/>
      <c r="G321" s="24"/>
      <c r="H321" s="24"/>
      <c r="I321" s="24"/>
      <c r="J321" s="29">
        <v>21713503</v>
      </c>
      <c r="K321" s="24"/>
    </row>
    <row r="322" spans="1:11" x14ac:dyDescent="0.2">
      <c r="A322" s="9">
        <v>321</v>
      </c>
      <c r="B322" s="9" t="str">
        <f t="shared" si="16"/>
        <v/>
      </c>
      <c r="C322" s="24"/>
      <c r="D322" s="24"/>
      <c r="E322" s="24"/>
      <c r="F322" s="24"/>
      <c r="G322" s="24"/>
      <c r="H322" s="24"/>
      <c r="I322" s="24"/>
      <c r="J322" s="29">
        <v>21713505</v>
      </c>
      <c r="K322" s="24"/>
    </row>
    <row r="323" spans="1:11" x14ac:dyDescent="0.2">
      <c r="A323" s="9">
        <v>322</v>
      </c>
      <c r="B323" s="9" t="str">
        <f t="shared" si="16"/>
        <v/>
      </c>
      <c r="C323" s="24"/>
      <c r="D323" s="24"/>
      <c r="E323" s="24"/>
      <c r="F323" s="24"/>
      <c r="G323" s="24"/>
      <c r="H323" s="24"/>
      <c r="I323" s="24"/>
      <c r="J323" s="29">
        <v>21713506</v>
      </c>
      <c r="K323" s="24"/>
    </row>
    <row r="324" spans="1:11" x14ac:dyDescent="0.2">
      <c r="A324" s="9">
        <v>323</v>
      </c>
      <c r="B324" s="9" t="str">
        <f t="shared" ref="B324:B387" si="17">IF(HLOOKUP($B$2,$C$2:$K$474,A324,0)=0,"",HLOOKUP($B$2,$C$2:$K$474,A324,0))</f>
        <v/>
      </c>
      <c r="C324" s="24"/>
      <c r="D324" s="24"/>
      <c r="E324" s="24"/>
      <c r="F324" s="24"/>
      <c r="G324" s="24"/>
      <c r="H324" s="24"/>
      <c r="I324" s="24"/>
      <c r="J324" s="29">
        <v>21713507</v>
      </c>
      <c r="K324" s="24"/>
    </row>
    <row r="325" spans="1:11" x14ac:dyDescent="0.2">
      <c r="A325" s="9">
        <v>324</v>
      </c>
      <c r="B325" s="9" t="str">
        <f t="shared" si="17"/>
        <v/>
      </c>
      <c r="C325" s="24"/>
      <c r="D325" s="24"/>
      <c r="E325" s="24"/>
      <c r="F325" s="24"/>
      <c r="G325" s="24"/>
      <c r="H325" s="24"/>
      <c r="I325" s="24"/>
      <c r="J325" s="29">
        <v>21713508</v>
      </c>
      <c r="K325" s="24"/>
    </row>
    <row r="326" spans="1:11" x14ac:dyDescent="0.2">
      <c r="A326" s="9">
        <v>325</v>
      </c>
      <c r="B326" s="9" t="str">
        <f t="shared" si="17"/>
        <v/>
      </c>
      <c r="C326" s="24"/>
      <c r="D326" s="24"/>
      <c r="E326" s="24"/>
      <c r="F326" s="24"/>
      <c r="G326" s="24"/>
      <c r="H326" s="24"/>
      <c r="I326" s="24"/>
      <c r="J326" s="29">
        <v>21846501</v>
      </c>
      <c r="K326" s="24"/>
    </row>
    <row r="327" spans="1:11" x14ac:dyDescent="0.2">
      <c r="A327" s="9">
        <v>326</v>
      </c>
      <c r="B327" s="9" t="str">
        <f t="shared" si="17"/>
        <v/>
      </c>
      <c r="C327" s="24"/>
      <c r="D327" s="24"/>
      <c r="E327" s="24"/>
      <c r="F327" s="24"/>
      <c r="G327" s="24"/>
      <c r="H327" s="24"/>
      <c r="I327" s="24"/>
      <c r="J327" s="29">
        <v>21846502</v>
      </c>
      <c r="K327" s="24"/>
    </row>
    <row r="328" spans="1:11" x14ac:dyDescent="0.2">
      <c r="A328" s="9">
        <v>327</v>
      </c>
      <c r="B328" s="9" t="str">
        <f t="shared" si="17"/>
        <v/>
      </c>
      <c r="C328" s="24"/>
      <c r="D328" s="24"/>
      <c r="E328" s="24"/>
      <c r="F328" s="24"/>
      <c r="G328" s="24"/>
      <c r="H328" s="24"/>
      <c r="I328" s="24"/>
      <c r="J328" s="29">
        <v>21894301</v>
      </c>
      <c r="K328" s="24"/>
    </row>
    <row r="329" spans="1:11" x14ac:dyDescent="0.2">
      <c r="A329" s="9">
        <v>328</v>
      </c>
      <c r="B329" s="9" t="str">
        <f t="shared" si="17"/>
        <v/>
      </c>
      <c r="C329" s="24"/>
      <c r="D329" s="24"/>
      <c r="E329" s="24"/>
      <c r="F329" s="24"/>
      <c r="G329" s="24"/>
      <c r="H329" s="24"/>
      <c r="I329" s="24"/>
      <c r="J329" s="29">
        <v>21894302</v>
      </c>
      <c r="K329" s="24"/>
    </row>
    <row r="330" spans="1:11" x14ac:dyDescent="0.2">
      <c r="A330" s="9">
        <v>329</v>
      </c>
      <c r="B330" s="9" t="str">
        <f t="shared" si="17"/>
        <v/>
      </c>
      <c r="C330" s="24"/>
      <c r="D330" s="24"/>
      <c r="E330" s="24"/>
      <c r="F330" s="24"/>
      <c r="G330" s="24"/>
      <c r="H330" s="24"/>
      <c r="I330" s="24"/>
      <c r="J330" s="29">
        <v>22065002</v>
      </c>
      <c r="K330" s="24"/>
    </row>
    <row r="331" spans="1:11" x14ac:dyDescent="0.2">
      <c r="A331" s="9">
        <v>330</v>
      </c>
      <c r="B331" s="9" t="str">
        <f t="shared" si="17"/>
        <v/>
      </c>
      <c r="C331" s="24"/>
      <c r="D331" s="24"/>
      <c r="E331" s="24"/>
      <c r="F331" s="24"/>
      <c r="G331" s="24"/>
      <c r="H331" s="24"/>
      <c r="I331" s="24"/>
      <c r="J331" s="29">
        <v>22065004</v>
      </c>
      <c r="K331" s="24"/>
    </row>
    <row r="332" spans="1:11" x14ac:dyDescent="0.2">
      <c r="A332" s="9">
        <v>331</v>
      </c>
      <c r="B332" s="9" t="str">
        <f t="shared" si="17"/>
        <v/>
      </c>
      <c r="C332" s="24"/>
      <c r="D332" s="24"/>
      <c r="E332" s="24"/>
      <c r="F332" s="24"/>
      <c r="G332" s="24"/>
      <c r="H332" s="24"/>
      <c r="I332" s="24"/>
      <c r="J332" s="29">
        <v>22313401</v>
      </c>
      <c r="K332" s="24"/>
    </row>
    <row r="333" spans="1:11" x14ac:dyDescent="0.2">
      <c r="A333" s="9">
        <v>332</v>
      </c>
      <c r="B333" s="9" t="str">
        <f t="shared" si="17"/>
        <v/>
      </c>
      <c r="C333" s="24"/>
      <c r="D333" s="24"/>
      <c r="E333" s="24"/>
      <c r="F333" s="24"/>
      <c r="G333" s="24"/>
      <c r="H333" s="24"/>
      <c r="I333" s="24"/>
      <c r="J333" s="29">
        <v>22313402</v>
      </c>
      <c r="K333" s="24"/>
    </row>
    <row r="334" spans="1:11" x14ac:dyDescent="0.2">
      <c r="A334" s="9">
        <v>333</v>
      </c>
      <c r="B334" s="9" t="str">
        <f t="shared" si="17"/>
        <v/>
      </c>
      <c r="C334" s="24"/>
      <c r="D334" s="24"/>
      <c r="E334" s="24"/>
      <c r="F334" s="24"/>
      <c r="G334" s="24"/>
      <c r="H334" s="24"/>
      <c r="I334" s="24"/>
      <c r="J334" s="29">
        <v>22313403</v>
      </c>
      <c r="K334" s="24"/>
    </row>
    <row r="335" spans="1:11" x14ac:dyDescent="0.2">
      <c r="A335" s="9">
        <v>334</v>
      </c>
      <c r="B335" s="9" t="str">
        <f t="shared" si="17"/>
        <v/>
      </c>
      <c r="C335" s="24"/>
      <c r="D335" s="24"/>
      <c r="E335" s="24"/>
      <c r="F335" s="24"/>
      <c r="G335" s="24"/>
      <c r="H335" s="24"/>
      <c r="I335" s="24"/>
      <c r="J335" s="29">
        <v>22313404</v>
      </c>
      <c r="K335" s="24"/>
    </row>
    <row r="336" spans="1:11" x14ac:dyDescent="0.2">
      <c r="A336" s="9">
        <v>335</v>
      </c>
      <c r="B336" s="9" t="str">
        <f t="shared" si="17"/>
        <v/>
      </c>
      <c r="C336" s="24"/>
      <c r="D336" s="24"/>
      <c r="E336" s="24"/>
      <c r="F336" s="24"/>
      <c r="G336" s="24"/>
      <c r="H336" s="24"/>
      <c r="I336" s="24"/>
      <c r="J336" s="29">
        <v>22578501</v>
      </c>
      <c r="K336" s="24"/>
    </row>
    <row r="337" spans="1:11" x14ac:dyDescent="0.2">
      <c r="A337" s="9">
        <v>336</v>
      </c>
      <c r="B337" s="9" t="str">
        <f t="shared" si="17"/>
        <v/>
      </c>
      <c r="C337" s="24"/>
      <c r="D337" s="24"/>
      <c r="E337" s="24"/>
      <c r="F337" s="24"/>
      <c r="G337" s="24"/>
      <c r="H337" s="24"/>
      <c r="I337" s="24"/>
      <c r="J337" s="29">
        <v>22579501</v>
      </c>
      <c r="K337" s="24"/>
    </row>
    <row r="338" spans="1:11" x14ac:dyDescent="0.2">
      <c r="A338" s="9">
        <v>337</v>
      </c>
      <c r="B338" s="9" t="str">
        <f t="shared" si="17"/>
        <v/>
      </c>
      <c r="C338" s="24"/>
      <c r="D338" s="24"/>
      <c r="E338" s="24"/>
      <c r="F338" s="24"/>
      <c r="G338" s="24"/>
      <c r="H338" s="24"/>
      <c r="I338" s="24"/>
      <c r="J338" s="29">
        <v>22586101</v>
      </c>
      <c r="K338" s="24"/>
    </row>
    <row r="339" spans="1:11" x14ac:dyDescent="0.2">
      <c r="A339" s="9">
        <v>338</v>
      </c>
      <c r="B339" s="9" t="str">
        <f t="shared" si="17"/>
        <v/>
      </c>
      <c r="C339" s="24"/>
      <c r="D339" s="24"/>
      <c r="E339" s="24"/>
      <c r="F339" s="24"/>
      <c r="G339" s="24"/>
      <c r="H339" s="24"/>
      <c r="I339" s="24"/>
      <c r="J339" s="29">
        <v>22586301</v>
      </c>
      <c r="K339" s="24"/>
    </row>
    <row r="340" spans="1:11" x14ac:dyDescent="0.2">
      <c r="A340" s="9">
        <v>339</v>
      </c>
      <c r="B340" s="9" t="str">
        <f t="shared" si="17"/>
        <v/>
      </c>
      <c r="C340" s="24"/>
      <c r="D340" s="24"/>
      <c r="E340" s="24"/>
      <c r="F340" s="24"/>
      <c r="G340" s="24"/>
      <c r="H340" s="24"/>
      <c r="I340" s="24"/>
      <c r="J340" s="29">
        <v>22607501</v>
      </c>
      <c r="K340" s="24"/>
    </row>
    <row r="341" spans="1:11" x14ac:dyDescent="0.2">
      <c r="A341" s="9">
        <v>340</v>
      </c>
      <c r="B341" s="9" t="str">
        <f t="shared" si="17"/>
        <v/>
      </c>
      <c r="C341" s="24"/>
      <c r="D341" s="24"/>
      <c r="E341" s="24"/>
      <c r="F341" s="24"/>
      <c r="G341" s="24"/>
      <c r="H341" s="24"/>
      <c r="I341" s="24"/>
      <c r="J341" s="29">
        <v>22607502</v>
      </c>
      <c r="K341" s="24"/>
    </row>
    <row r="342" spans="1:11" x14ac:dyDescent="0.2">
      <c r="A342" s="9">
        <v>341</v>
      </c>
      <c r="B342" s="9" t="str">
        <f t="shared" si="17"/>
        <v/>
      </c>
      <c r="C342" s="24"/>
      <c r="D342" s="24"/>
      <c r="E342" s="24"/>
      <c r="F342" s="24"/>
      <c r="G342" s="24"/>
      <c r="H342" s="24"/>
      <c r="I342" s="24"/>
      <c r="J342" s="29">
        <v>22618701</v>
      </c>
      <c r="K342" s="24"/>
    </row>
    <row r="343" spans="1:11" x14ac:dyDescent="0.2">
      <c r="A343" s="9">
        <v>342</v>
      </c>
      <c r="B343" s="9" t="str">
        <f t="shared" si="17"/>
        <v/>
      </c>
      <c r="C343" s="24"/>
      <c r="D343" s="24"/>
      <c r="E343" s="24"/>
      <c r="F343" s="24"/>
      <c r="G343" s="24"/>
      <c r="H343" s="24"/>
      <c r="I343" s="24"/>
      <c r="J343" s="29">
        <v>22618702</v>
      </c>
      <c r="K343" s="24"/>
    </row>
    <row r="344" spans="1:11" x14ac:dyDescent="0.2">
      <c r="A344" s="9">
        <v>343</v>
      </c>
      <c r="B344" s="9" t="str">
        <f t="shared" si="17"/>
        <v/>
      </c>
      <c r="C344" s="24"/>
      <c r="D344" s="24"/>
      <c r="E344" s="24"/>
      <c r="F344" s="24"/>
      <c r="G344" s="24"/>
      <c r="H344" s="24"/>
      <c r="I344" s="24"/>
      <c r="J344" s="29">
        <v>22618703</v>
      </c>
      <c r="K344" s="24"/>
    </row>
    <row r="345" spans="1:11" x14ac:dyDescent="0.2">
      <c r="A345" s="9">
        <v>344</v>
      </c>
      <c r="B345" s="9" t="str">
        <f t="shared" si="17"/>
        <v/>
      </c>
      <c r="C345" s="24"/>
      <c r="D345" s="24"/>
      <c r="E345" s="24"/>
      <c r="F345" s="24"/>
      <c r="G345" s="24"/>
      <c r="H345" s="24"/>
      <c r="I345" s="24"/>
      <c r="J345" s="29">
        <v>22644801</v>
      </c>
      <c r="K345" s="24"/>
    </row>
    <row r="346" spans="1:11" x14ac:dyDescent="0.2">
      <c r="A346" s="9">
        <v>345</v>
      </c>
      <c r="B346" s="9" t="str">
        <f t="shared" si="17"/>
        <v/>
      </c>
      <c r="C346" s="24"/>
      <c r="D346" s="24"/>
      <c r="E346" s="24"/>
      <c r="F346" s="24"/>
      <c r="G346" s="24"/>
      <c r="H346" s="24"/>
      <c r="I346" s="24"/>
      <c r="J346" s="29">
        <v>22644802</v>
      </c>
      <c r="K346" s="24"/>
    </row>
    <row r="347" spans="1:11" x14ac:dyDescent="0.2">
      <c r="A347" s="9">
        <v>346</v>
      </c>
      <c r="B347" s="9" t="str">
        <f t="shared" si="17"/>
        <v/>
      </c>
      <c r="C347" s="24"/>
      <c r="D347" s="24"/>
      <c r="E347" s="24"/>
      <c r="F347" s="24"/>
      <c r="G347" s="24"/>
      <c r="H347" s="24"/>
      <c r="I347" s="24"/>
      <c r="J347" s="29">
        <v>22644901</v>
      </c>
      <c r="K347" s="24"/>
    </row>
    <row r="348" spans="1:11" x14ac:dyDescent="0.2">
      <c r="A348" s="9">
        <v>347</v>
      </c>
      <c r="B348" s="9" t="str">
        <f t="shared" si="17"/>
        <v/>
      </c>
      <c r="C348" s="24"/>
      <c r="D348" s="24"/>
      <c r="E348" s="24"/>
      <c r="F348" s="24"/>
      <c r="G348" s="24"/>
      <c r="H348" s="24"/>
      <c r="I348" s="24"/>
      <c r="J348" s="29">
        <v>22645001</v>
      </c>
      <c r="K348" s="24"/>
    </row>
    <row r="349" spans="1:11" x14ac:dyDescent="0.2">
      <c r="A349" s="9">
        <v>348</v>
      </c>
      <c r="B349" s="9" t="str">
        <f t="shared" si="17"/>
        <v/>
      </c>
      <c r="C349" s="24"/>
      <c r="D349" s="24"/>
      <c r="E349" s="24"/>
      <c r="F349" s="24"/>
      <c r="G349" s="24"/>
      <c r="H349" s="24"/>
      <c r="I349" s="24"/>
      <c r="J349" s="29">
        <v>22968401</v>
      </c>
      <c r="K349" s="24"/>
    </row>
    <row r="350" spans="1:11" x14ac:dyDescent="0.2">
      <c r="A350" s="9">
        <v>349</v>
      </c>
      <c r="B350" s="9" t="str">
        <f t="shared" si="17"/>
        <v/>
      </c>
      <c r="C350" s="24"/>
      <c r="D350" s="24"/>
      <c r="E350" s="24"/>
      <c r="F350" s="24"/>
      <c r="G350" s="24"/>
      <c r="H350" s="24"/>
      <c r="I350" s="24"/>
      <c r="J350" s="29">
        <v>22968404</v>
      </c>
      <c r="K350" s="24"/>
    </row>
    <row r="351" spans="1:11" x14ac:dyDescent="0.2">
      <c r="A351" s="9">
        <v>350</v>
      </c>
      <c r="B351" s="9" t="str">
        <f t="shared" si="17"/>
        <v/>
      </c>
      <c r="C351" s="24"/>
      <c r="D351" s="24"/>
      <c r="E351" s="24"/>
      <c r="F351" s="24"/>
      <c r="G351" s="24"/>
      <c r="H351" s="24"/>
      <c r="I351" s="24"/>
      <c r="J351" s="29">
        <v>22974401</v>
      </c>
      <c r="K351" s="24"/>
    </row>
    <row r="352" spans="1:11" x14ac:dyDescent="0.2">
      <c r="A352" s="9">
        <v>351</v>
      </c>
      <c r="B352" s="9" t="str">
        <f t="shared" si="17"/>
        <v/>
      </c>
      <c r="C352" s="24"/>
      <c r="D352" s="24"/>
      <c r="E352" s="24"/>
      <c r="F352" s="24"/>
      <c r="G352" s="24"/>
      <c r="H352" s="24"/>
      <c r="I352" s="24"/>
      <c r="J352" s="29">
        <v>22974403</v>
      </c>
      <c r="K352" s="24"/>
    </row>
    <row r="353" spans="1:11" x14ac:dyDescent="0.2">
      <c r="A353" s="9">
        <v>352</v>
      </c>
      <c r="B353" s="9" t="str">
        <f t="shared" si="17"/>
        <v/>
      </c>
      <c r="C353" s="24"/>
      <c r="D353" s="24"/>
      <c r="E353" s="24"/>
      <c r="F353" s="24"/>
      <c r="G353" s="24"/>
      <c r="H353" s="24"/>
      <c r="I353" s="24"/>
      <c r="J353" s="29">
        <v>22974407</v>
      </c>
      <c r="K353" s="24"/>
    </row>
    <row r="354" spans="1:11" x14ac:dyDescent="0.2">
      <c r="A354" s="9">
        <v>353</v>
      </c>
      <c r="B354" s="9" t="str">
        <f t="shared" si="17"/>
        <v/>
      </c>
      <c r="C354" s="24"/>
      <c r="D354" s="24"/>
      <c r="E354" s="24"/>
      <c r="F354" s="24"/>
      <c r="G354" s="24"/>
      <c r="H354" s="24"/>
      <c r="I354" s="24"/>
      <c r="J354" s="29">
        <v>22974408</v>
      </c>
      <c r="K354" s="24"/>
    </row>
    <row r="355" spans="1:11" x14ac:dyDescent="0.2">
      <c r="A355" s="9">
        <v>354</v>
      </c>
      <c r="B355" s="9" t="str">
        <f t="shared" si="17"/>
        <v/>
      </c>
      <c r="C355" s="24"/>
      <c r="D355" s="24"/>
      <c r="E355" s="24"/>
      <c r="F355" s="24"/>
      <c r="G355" s="24"/>
      <c r="H355" s="24"/>
      <c r="I355" s="24"/>
      <c r="J355" s="29">
        <v>22974409</v>
      </c>
      <c r="K355" s="24"/>
    </row>
    <row r="356" spans="1:11" x14ac:dyDescent="0.2">
      <c r="A356" s="9">
        <v>355</v>
      </c>
      <c r="B356" s="9" t="str">
        <f t="shared" si="17"/>
        <v/>
      </c>
      <c r="C356" s="24"/>
      <c r="D356" s="24"/>
      <c r="E356" s="24"/>
      <c r="F356" s="24"/>
      <c r="G356" s="24"/>
      <c r="H356" s="24"/>
      <c r="I356" s="24"/>
      <c r="J356" s="29">
        <v>22974410</v>
      </c>
      <c r="K356" s="24"/>
    </row>
    <row r="357" spans="1:11" x14ac:dyDescent="0.2">
      <c r="A357" s="9">
        <v>356</v>
      </c>
      <c r="B357" s="9" t="str">
        <f t="shared" si="17"/>
        <v/>
      </c>
      <c r="C357" s="24"/>
      <c r="D357" s="24"/>
      <c r="E357" s="24"/>
      <c r="F357" s="24"/>
      <c r="G357" s="24"/>
      <c r="H357" s="24"/>
      <c r="I357" s="24"/>
      <c r="J357" s="29">
        <v>23406401</v>
      </c>
      <c r="K357" s="24"/>
    </row>
    <row r="358" spans="1:11" x14ac:dyDescent="0.2">
      <c r="A358" s="9">
        <v>357</v>
      </c>
      <c r="B358" s="9" t="str">
        <f t="shared" si="17"/>
        <v/>
      </c>
      <c r="C358" s="24"/>
      <c r="D358" s="24"/>
      <c r="E358" s="24"/>
      <c r="F358" s="24"/>
      <c r="G358" s="24"/>
      <c r="H358" s="24"/>
      <c r="I358" s="24"/>
      <c r="J358" s="29">
        <v>23406501</v>
      </c>
      <c r="K358" s="24"/>
    </row>
    <row r="359" spans="1:11" x14ac:dyDescent="0.2">
      <c r="A359" s="9">
        <v>358</v>
      </c>
      <c r="B359" s="9" t="str">
        <f t="shared" si="17"/>
        <v/>
      </c>
      <c r="C359" s="24"/>
      <c r="D359" s="24"/>
      <c r="E359" s="24"/>
      <c r="F359" s="24"/>
      <c r="G359" s="24"/>
      <c r="H359" s="24"/>
      <c r="I359" s="24"/>
      <c r="J359" s="29">
        <v>23406601</v>
      </c>
      <c r="K359" s="24"/>
    </row>
    <row r="360" spans="1:11" x14ac:dyDescent="0.2">
      <c r="A360" s="9">
        <v>359</v>
      </c>
      <c r="B360" s="9" t="str">
        <f t="shared" si="17"/>
        <v/>
      </c>
      <c r="C360" s="24"/>
      <c r="D360" s="24"/>
      <c r="E360" s="24"/>
      <c r="F360" s="24"/>
      <c r="G360" s="24"/>
      <c r="H360" s="24"/>
      <c r="I360" s="24"/>
      <c r="J360" s="29">
        <v>23406602</v>
      </c>
      <c r="K360" s="24"/>
    </row>
    <row r="361" spans="1:11" x14ac:dyDescent="0.2">
      <c r="A361" s="9">
        <v>360</v>
      </c>
      <c r="B361" s="9" t="str">
        <f t="shared" si="17"/>
        <v/>
      </c>
      <c r="C361" s="24"/>
      <c r="D361" s="24"/>
      <c r="E361" s="24"/>
      <c r="F361" s="24"/>
      <c r="G361" s="24"/>
      <c r="H361" s="24"/>
      <c r="I361" s="24"/>
      <c r="J361" s="29">
        <v>23406701</v>
      </c>
      <c r="K361" s="24"/>
    </row>
    <row r="362" spans="1:11" x14ac:dyDescent="0.2">
      <c r="A362" s="9">
        <v>361</v>
      </c>
      <c r="B362" s="9" t="str">
        <f t="shared" si="17"/>
        <v/>
      </c>
      <c r="C362" s="24"/>
      <c r="D362" s="24"/>
      <c r="E362" s="24"/>
      <c r="F362" s="24"/>
      <c r="G362" s="24"/>
      <c r="H362" s="24"/>
      <c r="I362" s="24"/>
      <c r="J362" s="29">
        <v>23406702</v>
      </c>
      <c r="K362" s="24"/>
    </row>
    <row r="363" spans="1:11" x14ac:dyDescent="0.2">
      <c r="A363" s="9">
        <v>362</v>
      </c>
      <c r="B363" s="9" t="str">
        <f t="shared" si="17"/>
        <v/>
      </c>
      <c r="C363" s="24"/>
      <c r="D363" s="24"/>
      <c r="E363" s="24"/>
      <c r="F363" s="24"/>
      <c r="G363" s="24"/>
      <c r="H363" s="24"/>
      <c r="I363" s="24"/>
      <c r="J363" s="29">
        <v>23896601</v>
      </c>
      <c r="K363" s="24"/>
    </row>
    <row r="364" spans="1:11" x14ac:dyDescent="0.2">
      <c r="A364" s="9">
        <v>363</v>
      </c>
      <c r="B364" s="9" t="str">
        <f t="shared" si="17"/>
        <v/>
      </c>
      <c r="C364" s="24"/>
      <c r="D364" s="24"/>
      <c r="E364" s="24"/>
      <c r="F364" s="24"/>
      <c r="G364" s="24"/>
      <c r="H364" s="24"/>
      <c r="I364" s="24"/>
      <c r="J364" s="29">
        <v>23896602</v>
      </c>
      <c r="K364" s="24"/>
    </row>
    <row r="365" spans="1:11" x14ac:dyDescent="0.2">
      <c r="A365" s="9">
        <v>364</v>
      </c>
      <c r="B365" s="9" t="str">
        <f t="shared" si="17"/>
        <v/>
      </c>
      <c r="C365" s="24"/>
      <c r="D365" s="24"/>
      <c r="E365" s="24"/>
      <c r="F365" s="24"/>
      <c r="G365" s="24"/>
      <c r="H365" s="24"/>
      <c r="I365" s="24"/>
      <c r="J365" s="29">
        <v>24080301</v>
      </c>
      <c r="K365" s="24"/>
    </row>
    <row r="366" spans="1:11" x14ac:dyDescent="0.2">
      <c r="A366" s="9">
        <v>365</v>
      </c>
      <c r="B366" s="9" t="str">
        <f t="shared" si="17"/>
        <v/>
      </c>
      <c r="C366" s="24"/>
      <c r="D366" s="24"/>
      <c r="E366" s="24"/>
      <c r="F366" s="24"/>
      <c r="G366" s="24"/>
      <c r="H366" s="24"/>
      <c r="I366" s="24"/>
      <c r="J366" s="29">
        <v>24088201</v>
      </c>
      <c r="K366" s="24"/>
    </row>
    <row r="367" spans="1:11" x14ac:dyDescent="0.2">
      <c r="A367" s="9">
        <v>366</v>
      </c>
      <c r="B367" s="9" t="str">
        <f t="shared" si="17"/>
        <v/>
      </c>
      <c r="C367" s="24"/>
      <c r="D367" s="24"/>
      <c r="E367" s="24"/>
      <c r="F367" s="24"/>
      <c r="G367" s="24"/>
      <c r="H367" s="24"/>
      <c r="I367" s="24"/>
      <c r="J367" s="29">
        <v>24194201</v>
      </c>
      <c r="K367" s="24"/>
    </row>
    <row r="368" spans="1:11" x14ac:dyDescent="0.2">
      <c r="A368" s="9">
        <v>367</v>
      </c>
      <c r="B368" s="9" t="str">
        <f t="shared" si="17"/>
        <v/>
      </c>
      <c r="C368" s="24"/>
      <c r="D368" s="24"/>
      <c r="E368" s="24"/>
      <c r="F368" s="24"/>
      <c r="G368" s="24"/>
      <c r="H368" s="24"/>
      <c r="I368" s="24"/>
      <c r="J368" s="29">
        <v>24293701</v>
      </c>
      <c r="K368" s="24"/>
    </row>
    <row r="369" spans="1:11" x14ac:dyDescent="0.2">
      <c r="A369" s="9">
        <v>368</v>
      </c>
      <c r="B369" s="9" t="str">
        <f t="shared" si="17"/>
        <v/>
      </c>
      <c r="C369" s="24"/>
      <c r="D369" s="24"/>
      <c r="E369" s="24"/>
      <c r="F369" s="24"/>
      <c r="G369" s="24"/>
      <c r="H369" s="24"/>
      <c r="I369" s="24"/>
      <c r="J369" s="29">
        <v>24472201</v>
      </c>
      <c r="K369" s="24"/>
    </row>
    <row r="370" spans="1:11" x14ac:dyDescent="0.2">
      <c r="A370" s="9">
        <v>369</v>
      </c>
      <c r="B370" s="9" t="str">
        <f t="shared" si="17"/>
        <v/>
      </c>
      <c r="C370" s="24"/>
      <c r="D370" s="24"/>
      <c r="E370" s="24"/>
      <c r="F370" s="24"/>
      <c r="G370" s="24"/>
      <c r="H370" s="24"/>
      <c r="I370" s="24"/>
      <c r="J370" s="29">
        <v>24472202</v>
      </c>
      <c r="K370" s="24"/>
    </row>
    <row r="371" spans="1:11" x14ac:dyDescent="0.2">
      <c r="A371" s="9">
        <v>370</v>
      </c>
      <c r="B371" s="9" t="str">
        <f t="shared" si="17"/>
        <v/>
      </c>
      <c r="C371" s="24"/>
      <c r="D371" s="24"/>
      <c r="E371" s="24"/>
      <c r="F371" s="24"/>
      <c r="G371" s="24"/>
      <c r="H371" s="24"/>
      <c r="I371" s="24"/>
      <c r="J371" s="29">
        <v>24491701</v>
      </c>
      <c r="K371" s="24"/>
    </row>
    <row r="372" spans="1:11" x14ac:dyDescent="0.2">
      <c r="A372" s="9">
        <v>371</v>
      </c>
      <c r="B372" s="9" t="str">
        <f t="shared" si="17"/>
        <v/>
      </c>
      <c r="C372" s="24"/>
      <c r="D372" s="24"/>
      <c r="E372" s="24"/>
      <c r="F372" s="24"/>
      <c r="G372" s="24"/>
      <c r="H372" s="24"/>
      <c r="I372" s="24"/>
      <c r="J372" s="29">
        <v>24492201</v>
      </c>
      <c r="K372" s="24"/>
    </row>
    <row r="373" spans="1:11" x14ac:dyDescent="0.2">
      <c r="A373" s="9">
        <v>372</v>
      </c>
      <c r="B373" s="9" t="str">
        <f t="shared" si="17"/>
        <v/>
      </c>
      <c r="C373" s="24"/>
      <c r="D373" s="24"/>
      <c r="E373" s="24"/>
      <c r="F373" s="24"/>
      <c r="G373" s="24"/>
      <c r="H373" s="24"/>
      <c r="I373" s="24"/>
      <c r="J373" s="29">
        <v>25057401</v>
      </c>
      <c r="K373" s="24"/>
    </row>
    <row r="374" spans="1:11" x14ac:dyDescent="0.2">
      <c r="A374" s="9">
        <v>373</v>
      </c>
      <c r="B374" s="9" t="str">
        <f t="shared" si="17"/>
        <v/>
      </c>
      <c r="C374" s="24"/>
      <c r="D374" s="24"/>
      <c r="E374" s="24"/>
      <c r="F374" s="24"/>
      <c r="G374" s="24"/>
      <c r="H374" s="24"/>
      <c r="I374" s="24"/>
      <c r="J374" s="29">
        <v>25057501</v>
      </c>
      <c r="K374" s="24"/>
    </row>
    <row r="375" spans="1:11" x14ac:dyDescent="0.2">
      <c r="A375" s="9">
        <v>374</v>
      </c>
      <c r="B375" s="9" t="str">
        <f t="shared" si="17"/>
        <v/>
      </c>
      <c r="C375" s="24"/>
      <c r="D375" s="24"/>
      <c r="E375" s="24"/>
      <c r="F375" s="24"/>
      <c r="G375" s="24"/>
      <c r="H375" s="24"/>
      <c r="I375" s="24"/>
      <c r="J375" s="29">
        <v>25201901</v>
      </c>
      <c r="K375" s="24"/>
    </row>
    <row r="376" spans="1:11" x14ac:dyDescent="0.2">
      <c r="A376" s="9">
        <v>375</v>
      </c>
      <c r="B376" s="9" t="str">
        <f t="shared" si="17"/>
        <v/>
      </c>
      <c r="C376" s="24"/>
      <c r="D376" s="24"/>
      <c r="E376" s="24"/>
      <c r="F376" s="24"/>
      <c r="G376" s="24"/>
      <c r="H376" s="24"/>
      <c r="I376" s="24"/>
      <c r="J376" s="29">
        <v>25201902</v>
      </c>
      <c r="K376" s="24"/>
    </row>
    <row r="377" spans="1:11" x14ac:dyDescent="0.2">
      <c r="A377" s="9">
        <v>376</v>
      </c>
      <c r="B377" s="9" t="str">
        <f t="shared" si="17"/>
        <v/>
      </c>
      <c r="C377" s="24"/>
      <c r="D377" s="24"/>
      <c r="E377" s="24"/>
      <c r="F377" s="24"/>
      <c r="G377" s="24"/>
      <c r="H377" s="24"/>
      <c r="I377" s="24"/>
      <c r="J377" s="29">
        <v>25351401</v>
      </c>
      <c r="K377" s="24"/>
    </row>
    <row r="378" spans="1:11" x14ac:dyDescent="0.2">
      <c r="A378" s="9">
        <v>377</v>
      </c>
      <c r="B378" s="9" t="str">
        <f t="shared" si="17"/>
        <v/>
      </c>
      <c r="C378" s="24"/>
      <c r="D378" s="24"/>
      <c r="E378" s="24"/>
      <c r="F378" s="24"/>
      <c r="G378" s="24"/>
      <c r="H378" s="24"/>
      <c r="I378" s="24"/>
      <c r="J378" s="29">
        <v>25423001</v>
      </c>
      <c r="K378" s="24"/>
    </row>
    <row r="379" spans="1:11" x14ac:dyDescent="0.2">
      <c r="A379" s="9">
        <v>378</v>
      </c>
      <c r="B379" s="9" t="str">
        <f t="shared" si="17"/>
        <v/>
      </c>
      <c r="C379" s="24"/>
      <c r="D379" s="24"/>
      <c r="E379" s="24"/>
      <c r="F379" s="24"/>
      <c r="G379" s="24"/>
      <c r="H379" s="24"/>
      <c r="I379" s="24"/>
      <c r="J379" s="29">
        <v>25933401</v>
      </c>
      <c r="K379" s="24"/>
    </row>
    <row r="380" spans="1:11" x14ac:dyDescent="0.2">
      <c r="A380" s="9">
        <v>379</v>
      </c>
      <c r="B380" s="9" t="str">
        <f t="shared" si="17"/>
        <v/>
      </c>
      <c r="C380" s="24"/>
      <c r="D380" s="24"/>
      <c r="E380" s="24"/>
      <c r="F380" s="24"/>
      <c r="G380" s="24"/>
      <c r="H380" s="24"/>
      <c r="I380" s="24"/>
      <c r="J380" s="29">
        <v>25933403</v>
      </c>
      <c r="K380" s="24"/>
    </row>
    <row r="381" spans="1:11" x14ac:dyDescent="0.2">
      <c r="A381" s="9">
        <v>380</v>
      </c>
      <c r="B381" s="9" t="str">
        <f t="shared" si="17"/>
        <v/>
      </c>
      <c r="C381" s="24"/>
      <c r="D381" s="24"/>
      <c r="E381" s="24"/>
      <c r="F381" s="24"/>
      <c r="G381" s="24"/>
      <c r="H381" s="24"/>
      <c r="I381" s="24"/>
      <c r="J381" s="29">
        <v>25966201</v>
      </c>
      <c r="K381" s="24"/>
    </row>
    <row r="382" spans="1:11" x14ac:dyDescent="0.2">
      <c r="A382" s="9">
        <v>381</v>
      </c>
      <c r="B382" s="9" t="str">
        <f t="shared" si="17"/>
        <v/>
      </c>
      <c r="C382" s="24"/>
      <c r="D382" s="24"/>
      <c r="E382" s="24"/>
      <c r="F382" s="24"/>
      <c r="G382" s="24"/>
      <c r="H382" s="24"/>
      <c r="I382" s="24"/>
      <c r="J382" s="29">
        <v>25966202</v>
      </c>
      <c r="K382" s="24"/>
    </row>
    <row r="383" spans="1:11" x14ac:dyDescent="0.2">
      <c r="A383" s="9">
        <v>382</v>
      </c>
      <c r="B383" s="9" t="str">
        <f t="shared" si="17"/>
        <v/>
      </c>
      <c r="C383" s="24"/>
      <c r="D383" s="24"/>
      <c r="E383" s="24"/>
      <c r="F383" s="24"/>
      <c r="G383" s="24"/>
      <c r="H383" s="24"/>
      <c r="I383" s="24"/>
      <c r="J383" s="29">
        <v>26515801</v>
      </c>
      <c r="K383" s="24"/>
    </row>
    <row r="384" spans="1:11" x14ac:dyDescent="0.2">
      <c r="A384" s="9">
        <v>383</v>
      </c>
      <c r="B384" s="9" t="str">
        <f t="shared" si="17"/>
        <v/>
      </c>
      <c r="C384" s="24"/>
      <c r="D384" s="24"/>
      <c r="E384" s="24"/>
      <c r="F384" s="24"/>
      <c r="G384" s="24"/>
      <c r="H384" s="24"/>
      <c r="I384" s="24"/>
      <c r="J384" s="29">
        <v>26515803</v>
      </c>
      <c r="K384" s="24"/>
    </row>
    <row r="385" spans="1:11" x14ac:dyDescent="0.2">
      <c r="A385" s="9">
        <v>384</v>
      </c>
      <c r="B385" s="9" t="str">
        <f t="shared" si="17"/>
        <v/>
      </c>
      <c r="C385" s="24"/>
      <c r="D385" s="24"/>
      <c r="E385" s="24"/>
      <c r="F385" s="24"/>
      <c r="G385" s="24"/>
      <c r="H385" s="24"/>
      <c r="I385" s="24"/>
      <c r="J385" s="29" t="s">
        <v>184</v>
      </c>
      <c r="K385" s="24"/>
    </row>
    <row r="386" spans="1:11" x14ac:dyDescent="0.2">
      <c r="A386" s="9">
        <v>385</v>
      </c>
      <c r="B386" s="9" t="str">
        <f t="shared" si="17"/>
        <v/>
      </c>
      <c r="C386" s="24"/>
      <c r="D386" s="24"/>
      <c r="E386" s="24"/>
      <c r="F386" s="24"/>
      <c r="G386" s="24"/>
      <c r="H386" s="24"/>
      <c r="I386" s="24"/>
      <c r="J386" s="29" t="s">
        <v>185</v>
      </c>
      <c r="K386" s="24"/>
    </row>
    <row r="387" spans="1:11" x14ac:dyDescent="0.2">
      <c r="A387" s="9">
        <v>386</v>
      </c>
      <c r="B387" s="9" t="str">
        <f t="shared" si="17"/>
        <v/>
      </c>
      <c r="C387" s="24"/>
      <c r="D387" s="24"/>
      <c r="E387" s="24"/>
      <c r="F387" s="24"/>
      <c r="G387" s="24"/>
      <c r="H387" s="24"/>
      <c r="I387" s="24"/>
      <c r="J387" s="29" t="s">
        <v>186</v>
      </c>
      <c r="K387" s="24"/>
    </row>
    <row r="388" spans="1:11" x14ac:dyDescent="0.2">
      <c r="A388" s="9">
        <v>387</v>
      </c>
      <c r="B388" s="9" t="str">
        <f t="shared" ref="B388:B451" si="18">IF(HLOOKUP($B$2,$C$2:$K$474,A388,0)=0,"",HLOOKUP($B$2,$C$2:$K$474,A388,0))</f>
        <v/>
      </c>
      <c r="C388" s="24"/>
      <c r="D388" s="24"/>
      <c r="E388" s="24"/>
      <c r="F388" s="24"/>
      <c r="G388" s="24"/>
      <c r="H388" s="24"/>
      <c r="I388" s="24"/>
      <c r="J388" s="29" t="s">
        <v>187</v>
      </c>
      <c r="K388" s="24"/>
    </row>
    <row r="389" spans="1:11" x14ac:dyDescent="0.2">
      <c r="A389" s="9">
        <v>388</v>
      </c>
      <c r="B389" s="9" t="str">
        <f t="shared" si="18"/>
        <v/>
      </c>
      <c r="C389" s="24"/>
      <c r="D389" s="24"/>
      <c r="E389" s="24"/>
      <c r="F389" s="24"/>
      <c r="G389" s="24"/>
      <c r="H389" s="24"/>
      <c r="I389" s="24"/>
      <c r="J389" s="29" t="s">
        <v>188</v>
      </c>
      <c r="K389" s="24"/>
    </row>
    <row r="390" spans="1:11" x14ac:dyDescent="0.2">
      <c r="A390" s="9">
        <v>389</v>
      </c>
      <c r="B390" s="9" t="str">
        <f t="shared" si="18"/>
        <v/>
      </c>
      <c r="C390" s="24"/>
      <c r="D390" s="24"/>
      <c r="E390" s="24"/>
      <c r="F390" s="24"/>
      <c r="G390" s="24"/>
      <c r="H390" s="24"/>
      <c r="I390" s="24"/>
      <c r="J390" s="29" t="s">
        <v>189</v>
      </c>
      <c r="K390" s="24"/>
    </row>
    <row r="391" spans="1:11" x14ac:dyDescent="0.2">
      <c r="A391" s="9">
        <v>390</v>
      </c>
      <c r="B391" s="9" t="str">
        <f t="shared" si="18"/>
        <v/>
      </c>
      <c r="C391" s="24"/>
      <c r="D391" s="24"/>
      <c r="E391" s="24"/>
      <c r="F391" s="24"/>
      <c r="G391" s="24"/>
      <c r="H391" s="24"/>
      <c r="I391" s="24"/>
      <c r="J391" s="29" t="s">
        <v>190</v>
      </c>
      <c r="K391" s="24"/>
    </row>
    <row r="392" spans="1:11" x14ac:dyDescent="0.2">
      <c r="A392" s="9">
        <v>391</v>
      </c>
      <c r="B392" s="9" t="str">
        <f t="shared" si="18"/>
        <v/>
      </c>
      <c r="C392" s="24"/>
      <c r="D392" s="24"/>
      <c r="E392" s="24"/>
      <c r="F392" s="24"/>
      <c r="G392" s="24"/>
      <c r="H392" s="24"/>
      <c r="I392" s="24"/>
      <c r="J392" s="29" t="s">
        <v>191</v>
      </c>
      <c r="K392" s="24"/>
    </row>
    <row r="393" spans="1:11" x14ac:dyDescent="0.2">
      <c r="A393" s="9">
        <v>392</v>
      </c>
      <c r="B393" s="9" t="str">
        <f t="shared" si="18"/>
        <v/>
      </c>
      <c r="C393" s="24"/>
      <c r="D393" s="24"/>
      <c r="E393" s="24"/>
      <c r="F393" s="24"/>
      <c r="G393" s="24"/>
      <c r="H393" s="24"/>
      <c r="I393" s="24"/>
      <c r="J393" s="29" t="s">
        <v>192</v>
      </c>
      <c r="K393" s="24"/>
    </row>
    <row r="394" spans="1:11" x14ac:dyDescent="0.2">
      <c r="A394" s="9">
        <v>393</v>
      </c>
      <c r="B394" s="9" t="str">
        <f t="shared" si="18"/>
        <v/>
      </c>
      <c r="C394" s="24"/>
      <c r="D394" s="24"/>
      <c r="E394" s="24"/>
      <c r="F394" s="24"/>
      <c r="G394" s="24"/>
      <c r="H394" s="24"/>
      <c r="I394" s="24"/>
      <c r="J394" s="29" t="s">
        <v>193</v>
      </c>
      <c r="K394" s="24"/>
    </row>
    <row r="395" spans="1:11" x14ac:dyDescent="0.2">
      <c r="A395" s="9">
        <v>394</v>
      </c>
      <c r="B395" s="9" t="str">
        <f t="shared" si="18"/>
        <v/>
      </c>
      <c r="C395" s="24"/>
      <c r="D395" s="24"/>
      <c r="E395" s="24"/>
      <c r="F395" s="24"/>
      <c r="G395" s="24"/>
      <c r="H395" s="24"/>
      <c r="I395" s="24"/>
      <c r="J395" s="29" t="s">
        <v>194</v>
      </c>
      <c r="K395" s="24"/>
    </row>
    <row r="396" spans="1:11" x14ac:dyDescent="0.2">
      <c r="A396" s="9">
        <v>395</v>
      </c>
      <c r="B396" s="9" t="str">
        <f t="shared" si="18"/>
        <v/>
      </c>
      <c r="C396" s="24"/>
      <c r="D396" s="24"/>
      <c r="E396" s="24"/>
      <c r="F396" s="24"/>
      <c r="G396" s="24"/>
      <c r="H396" s="24"/>
      <c r="I396" s="24"/>
      <c r="J396" s="29" t="s">
        <v>195</v>
      </c>
      <c r="K396" s="24"/>
    </row>
    <row r="397" spans="1:11" x14ac:dyDescent="0.2">
      <c r="A397" s="9">
        <v>396</v>
      </c>
      <c r="B397" s="9" t="str">
        <f t="shared" si="18"/>
        <v/>
      </c>
      <c r="C397" s="24"/>
      <c r="D397" s="24"/>
      <c r="E397" s="24"/>
      <c r="F397" s="24"/>
      <c r="G397" s="24"/>
      <c r="H397" s="24"/>
      <c r="I397" s="24"/>
      <c r="J397" s="29" t="s">
        <v>196</v>
      </c>
      <c r="K397" s="24"/>
    </row>
    <row r="398" spans="1:11" x14ac:dyDescent="0.2">
      <c r="A398" s="9">
        <v>397</v>
      </c>
      <c r="B398" s="9" t="str">
        <f t="shared" si="18"/>
        <v/>
      </c>
      <c r="C398" s="24"/>
      <c r="D398" s="24"/>
      <c r="E398" s="24"/>
      <c r="F398" s="24"/>
      <c r="G398" s="24"/>
      <c r="H398" s="24"/>
      <c r="I398" s="24"/>
      <c r="J398" s="29" t="s">
        <v>197</v>
      </c>
      <c r="K398" s="24"/>
    </row>
    <row r="399" spans="1:11" x14ac:dyDescent="0.2">
      <c r="A399" s="9">
        <v>398</v>
      </c>
      <c r="B399" s="9" t="str">
        <f t="shared" si="18"/>
        <v/>
      </c>
      <c r="C399" s="24"/>
      <c r="D399" s="24"/>
      <c r="E399" s="24"/>
      <c r="F399" s="24"/>
      <c r="G399" s="24"/>
      <c r="H399" s="24"/>
      <c r="I399" s="24"/>
      <c r="J399" s="29" t="s">
        <v>198</v>
      </c>
      <c r="K399" s="24"/>
    </row>
    <row r="400" spans="1:11" x14ac:dyDescent="0.2">
      <c r="A400" s="9">
        <v>399</v>
      </c>
      <c r="B400" s="9" t="str">
        <f t="shared" si="18"/>
        <v/>
      </c>
      <c r="C400" s="24"/>
      <c r="D400" s="24"/>
      <c r="E400" s="24"/>
      <c r="F400" s="24"/>
      <c r="G400" s="24"/>
      <c r="H400" s="24"/>
      <c r="I400" s="24"/>
      <c r="J400" s="29" t="s">
        <v>199</v>
      </c>
      <c r="K400" s="24"/>
    </row>
    <row r="401" spans="1:11" x14ac:dyDescent="0.2">
      <c r="A401" s="9">
        <v>400</v>
      </c>
      <c r="B401" s="9" t="str">
        <f t="shared" si="18"/>
        <v/>
      </c>
      <c r="C401" s="24"/>
      <c r="D401" s="24"/>
      <c r="E401" s="24"/>
      <c r="F401" s="24"/>
      <c r="G401" s="24"/>
      <c r="H401" s="24"/>
      <c r="I401" s="24"/>
      <c r="J401" s="29" t="s">
        <v>200</v>
      </c>
      <c r="K401" s="24"/>
    </row>
    <row r="402" spans="1:11" x14ac:dyDescent="0.2">
      <c r="A402" s="9">
        <v>401</v>
      </c>
      <c r="B402" s="9" t="str">
        <f t="shared" si="18"/>
        <v/>
      </c>
      <c r="C402" s="24"/>
      <c r="D402" s="24"/>
      <c r="E402" s="24"/>
      <c r="F402" s="24"/>
      <c r="G402" s="24"/>
      <c r="H402" s="24"/>
      <c r="I402" s="24"/>
      <c r="J402" s="29" t="s">
        <v>201</v>
      </c>
      <c r="K402" s="24"/>
    </row>
    <row r="403" spans="1:11" x14ac:dyDescent="0.2">
      <c r="A403" s="9">
        <v>402</v>
      </c>
      <c r="B403" s="9" t="str">
        <f t="shared" si="18"/>
        <v/>
      </c>
      <c r="C403" s="24"/>
      <c r="D403" s="24"/>
      <c r="E403" s="24"/>
      <c r="F403" s="24"/>
      <c r="G403" s="24"/>
      <c r="H403" s="24"/>
      <c r="I403" s="24"/>
      <c r="J403" s="29" t="s">
        <v>202</v>
      </c>
      <c r="K403" s="24"/>
    </row>
    <row r="404" spans="1:11" x14ac:dyDescent="0.2">
      <c r="A404" s="9">
        <v>403</v>
      </c>
      <c r="B404" s="9" t="str">
        <f t="shared" si="18"/>
        <v/>
      </c>
      <c r="C404" s="24"/>
      <c r="D404" s="24"/>
      <c r="E404" s="24"/>
      <c r="F404" s="24"/>
      <c r="G404" s="24"/>
      <c r="H404" s="24"/>
      <c r="I404" s="24"/>
      <c r="J404" s="29" t="s">
        <v>203</v>
      </c>
      <c r="K404" s="24"/>
    </row>
    <row r="405" spans="1:11" x14ac:dyDescent="0.2">
      <c r="A405" s="9">
        <v>404</v>
      </c>
      <c r="B405" s="9" t="str">
        <f t="shared" si="18"/>
        <v/>
      </c>
      <c r="C405" s="24"/>
      <c r="D405" s="24"/>
      <c r="E405" s="24"/>
      <c r="F405" s="24"/>
      <c r="G405" s="24"/>
      <c r="H405" s="24"/>
      <c r="I405" s="24"/>
      <c r="J405" s="29" t="s">
        <v>204</v>
      </c>
      <c r="K405" s="24"/>
    </row>
    <row r="406" spans="1:11" x14ac:dyDescent="0.2">
      <c r="A406" s="9">
        <v>405</v>
      </c>
      <c r="B406" s="9" t="str">
        <f t="shared" si="18"/>
        <v/>
      </c>
      <c r="C406" s="24"/>
      <c r="D406" s="24"/>
      <c r="E406" s="24"/>
      <c r="F406" s="24"/>
      <c r="G406" s="24"/>
      <c r="H406" s="24"/>
      <c r="I406" s="24"/>
      <c r="J406" s="29" t="s">
        <v>149</v>
      </c>
      <c r="K406" s="24"/>
    </row>
    <row r="407" spans="1:11" x14ac:dyDescent="0.2">
      <c r="A407" s="9">
        <v>406</v>
      </c>
      <c r="B407" s="9" t="str">
        <f t="shared" si="18"/>
        <v/>
      </c>
      <c r="C407" s="24"/>
      <c r="D407" s="24"/>
      <c r="E407" s="24"/>
      <c r="F407" s="24"/>
      <c r="G407" s="24"/>
      <c r="H407" s="24"/>
      <c r="I407" s="24"/>
      <c r="J407" s="29" t="s">
        <v>174</v>
      </c>
      <c r="K407" s="24"/>
    </row>
    <row r="408" spans="1:11" x14ac:dyDescent="0.2">
      <c r="A408" s="9">
        <v>407</v>
      </c>
      <c r="B408" s="9" t="str">
        <f t="shared" si="18"/>
        <v/>
      </c>
      <c r="C408" s="24"/>
      <c r="D408" s="24"/>
      <c r="E408" s="24"/>
      <c r="F408" s="24"/>
      <c r="G408" s="24"/>
      <c r="H408" s="24"/>
      <c r="I408" s="24"/>
      <c r="J408" s="29" t="s">
        <v>205</v>
      </c>
      <c r="K408" s="24"/>
    </row>
    <row r="409" spans="1:11" x14ac:dyDescent="0.2">
      <c r="A409" s="9">
        <v>408</v>
      </c>
      <c r="B409" s="9" t="str">
        <f t="shared" si="18"/>
        <v/>
      </c>
      <c r="C409" s="24"/>
      <c r="D409" s="24"/>
      <c r="E409" s="24"/>
      <c r="F409" s="24"/>
      <c r="G409" s="24"/>
      <c r="H409" s="24"/>
      <c r="I409" s="24"/>
      <c r="J409" s="29" t="s">
        <v>206</v>
      </c>
      <c r="K409" s="24"/>
    </row>
    <row r="410" spans="1:11" x14ac:dyDescent="0.2">
      <c r="A410" s="9">
        <v>409</v>
      </c>
      <c r="B410" s="9" t="str">
        <f t="shared" si="18"/>
        <v/>
      </c>
      <c r="C410" s="24"/>
      <c r="D410" s="24"/>
      <c r="E410" s="24"/>
      <c r="F410" s="24"/>
      <c r="G410" s="24"/>
      <c r="H410" s="24"/>
      <c r="I410" s="24"/>
      <c r="J410" s="29" t="s">
        <v>207</v>
      </c>
      <c r="K410" s="24"/>
    </row>
    <row r="411" spans="1:11" x14ac:dyDescent="0.2">
      <c r="A411" s="9">
        <v>410</v>
      </c>
      <c r="B411" s="9" t="str">
        <f t="shared" si="18"/>
        <v/>
      </c>
      <c r="C411" s="24"/>
      <c r="D411" s="24"/>
      <c r="E411" s="24"/>
      <c r="F411" s="24"/>
      <c r="G411" s="24"/>
      <c r="H411" s="24"/>
      <c r="I411" s="24"/>
      <c r="J411" s="29" t="s">
        <v>208</v>
      </c>
      <c r="K411" s="24"/>
    </row>
    <row r="412" spans="1:11" x14ac:dyDescent="0.2">
      <c r="A412" s="9">
        <v>411</v>
      </c>
      <c r="B412" s="9" t="str">
        <f t="shared" si="18"/>
        <v/>
      </c>
      <c r="C412" s="24"/>
      <c r="D412" s="24"/>
      <c r="E412" s="24"/>
      <c r="F412" s="24"/>
      <c r="G412" s="24"/>
      <c r="H412" s="24"/>
      <c r="I412" s="24"/>
      <c r="J412" s="29" t="s">
        <v>209</v>
      </c>
      <c r="K412" s="24"/>
    </row>
    <row r="413" spans="1:11" x14ac:dyDescent="0.2">
      <c r="A413" s="9">
        <v>412</v>
      </c>
      <c r="B413" s="9" t="str">
        <f t="shared" si="18"/>
        <v/>
      </c>
      <c r="C413" s="24"/>
      <c r="D413" s="24"/>
      <c r="E413" s="24"/>
      <c r="F413" s="24"/>
      <c r="G413" s="24"/>
      <c r="H413" s="24"/>
      <c r="I413" s="24"/>
      <c r="J413" s="29" t="s">
        <v>210</v>
      </c>
      <c r="K413" s="24"/>
    </row>
    <row r="414" spans="1:11" x14ac:dyDescent="0.2">
      <c r="A414" s="9">
        <v>413</v>
      </c>
      <c r="B414" s="9" t="str">
        <f t="shared" si="18"/>
        <v/>
      </c>
      <c r="C414" s="24"/>
      <c r="D414" s="24"/>
      <c r="E414" s="24"/>
      <c r="F414" s="24"/>
      <c r="G414" s="24"/>
      <c r="H414" s="24"/>
      <c r="I414" s="24"/>
      <c r="J414" s="29" t="s">
        <v>211</v>
      </c>
      <c r="K414" s="24"/>
    </row>
    <row r="415" spans="1:11" x14ac:dyDescent="0.2">
      <c r="A415" s="9">
        <v>414</v>
      </c>
      <c r="B415" s="9" t="str">
        <f t="shared" si="18"/>
        <v/>
      </c>
      <c r="C415" s="24"/>
      <c r="D415" s="24"/>
      <c r="E415" s="24"/>
      <c r="F415" s="24"/>
      <c r="G415" s="24"/>
      <c r="H415" s="24"/>
      <c r="I415" s="24"/>
      <c r="J415" s="29" t="s">
        <v>212</v>
      </c>
      <c r="K415" s="24"/>
    </row>
    <row r="416" spans="1:11" x14ac:dyDescent="0.2">
      <c r="A416" s="9">
        <v>415</v>
      </c>
      <c r="B416" s="9" t="str">
        <f t="shared" si="18"/>
        <v/>
      </c>
      <c r="C416" s="24"/>
      <c r="D416" s="24"/>
      <c r="E416" s="24"/>
      <c r="F416" s="24"/>
      <c r="G416" s="24"/>
      <c r="H416" s="24"/>
      <c r="I416" s="24"/>
      <c r="J416" s="29" t="s">
        <v>213</v>
      </c>
      <c r="K416" s="24"/>
    </row>
    <row r="417" spans="1:11" x14ac:dyDescent="0.2">
      <c r="A417" s="9">
        <v>416</v>
      </c>
      <c r="B417" s="9" t="str">
        <f t="shared" si="18"/>
        <v/>
      </c>
      <c r="C417" s="24"/>
      <c r="D417" s="24"/>
      <c r="E417" s="24"/>
      <c r="F417" s="24"/>
      <c r="G417" s="24"/>
      <c r="H417" s="24"/>
      <c r="I417" s="24"/>
      <c r="J417" s="29" t="s">
        <v>214</v>
      </c>
      <c r="K417" s="24"/>
    </row>
    <row r="418" spans="1:11" x14ac:dyDescent="0.2">
      <c r="A418" s="9">
        <v>417</v>
      </c>
      <c r="B418" s="9" t="str">
        <f t="shared" si="18"/>
        <v/>
      </c>
      <c r="C418" s="24"/>
      <c r="D418" s="24"/>
      <c r="E418" s="24"/>
      <c r="F418" s="24"/>
      <c r="G418" s="24"/>
      <c r="H418" s="24"/>
      <c r="I418" s="24"/>
      <c r="J418" s="29" t="s">
        <v>215</v>
      </c>
      <c r="K418" s="24"/>
    </row>
    <row r="419" spans="1:11" x14ac:dyDescent="0.2">
      <c r="A419" s="9">
        <v>418</v>
      </c>
      <c r="B419" s="9" t="str">
        <f t="shared" si="18"/>
        <v/>
      </c>
      <c r="C419" s="24"/>
      <c r="D419" s="24"/>
      <c r="E419" s="24"/>
      <c r="F419" s="24"/>
      <c r="G419" s="24"/>
      <c r="H419" s="24"/>
      <c r="I419" s="24"/>
      <c r="J419" s="29" t="s">
        <v>216</v>
      </c>
      <c r="K419" s="24"/>
    </row>
    <row r="420" spans="1:11" x14ac:dyDescent="0.2">
      <c r="A420" s="9">
        <v>419</v>
      </c>
      <c r="B420" s="9" t="str">
        <f t="shared" si="18"/>
        <v/>
      </c>
      <c r="C420" s="24"/>
      <c r="D420" s="24"/>
      <c r="E420" s="24"/>
      <c r="F420" s="24"/>
      <c r="G420" s="24"/>
      <c r="H420" s="24"/>
      <c r="I420" s="24"/>
      <c r="J420" s="29" t="s">
        <v>217</v>
      </c>
      <c r="K420" s="24"/>
    </row>
    <row r="421" spans="1:11" x14ac:dyDescent="0.2">
      <c r="A421" s="9">
        <v>420</v>
      </c>
      <c r="B421" s="9" t="str">
        <f t="shared" si="18"/>
        <v/>
      </c>
      <c r="C421" s="24"/>
      <c r="D421" s="24"/>
      <c r="E421" s="24"/>
      <c r="F421" s="24"/>
      <c r="G421" s="24"/>
      <c r="H421" s="24"/>
      <c r="I421" s="24"/>
      <c r="J421" s="29" t="s">
        <v>218</v>
      </c>
      <c r="K421" s="24"/>
    </row>
    <row r="422" spans="1:11" x14ac:dyDescent="0.2">
      <c r="A422" s="9">
        <v>421</v>
      </c>
      <c r="B422" s="9" t="str">
        <f t="shared" si="18"/>
        <v/>
      </c>
      <c r="C422" s="24"/>
      <c r="D422" s="24"/>
      <c r="E422" s="24"/>
      <c r="F422" s="24"/>
      <c r="G422" s="24"/>
      <c r="H422" s="24"/>
      <c r="I422" s="24"/>
      <c r="J422" s="29" t="s">
        <v>219</v>
      </c>
      <c r="K422" s="24"/>
    </row>
    <row r="423" spans="1:11" x14ac:dyDescent="0.2">
      <c r="A423" s="9">
        <v>422</v>
      </c>
      <c r="B423" s="9" t="str">
        <f t="shared" si="18"/>
        <v/>
      </c>
      <c r="C423" s="24"/>
      <c r="D423" s="24"/>
      <c r="E423" s="24"/>
      <c r="F423" s="24"/>
      <c r="G423" s="24"/>
      <c r="H423" s="24"/>
      <c r="I423" s="24"/>
      <c r="J423" s="29" t="s">
        <v>220</v>
      </c>
      <c r="K423" s="24"/>
    </row>
    <row r="424" spans="1:11" x14ac:dyDescent="0.2">
      <c r="A424" s="9">
        <v>423</v>
      </c>
      <c r="B424" s="9" t="str">
        <f t="shared" si="18"/>
        <v/>
      </c>
      <c r="C424" s="24"/>
      <c r="D424" s="24"/>
      <c r="E424" s="24"/>
      <c r="F424" s="24"/>
      <c r="G424" s="24"/>
      <c r="H424" s="24"/>
      <c r="I424" s="24"/>
      <c r="J424" s="29" t="s">
        <v>221</v>
      </c>
      <c r="K424" s="24"/>
    </row>
    <row r="425" spans="1:11" x14ac:dyDescent="0.2">
      <c r="A425" s="9">
        <v>424</v>
      </c>
      <c r="B425" s="9" t="str">
        <f t="shared" si="18"/>
        <v/>
      </c>
      <c r="C425" s="24"/>
      <c r="D425" s="24"/>
      <c r="E425" s="24"/>
      <c r="F425" s="24"/>
      <c r="G425" s="24"/>
      <c r="H425" s="24"/>
      <c r="I425" s="24"/>
      <c r="J425" s="29" t="s">
        <v>222</v>
      </c>
      <c r="K425" s="24"/>
    </row>
    <row r="426" spans="1:11" x14ac:dyDescent="0.2">
      <c r="A426" s="9">
        <v>425</v>
      </c>
      <c r="B426" s="9" t="str">
        <f t="shared" si="18"/>
        <v/>
      </c>
      <c r="C426" s="24"/>
      <c r="D426" s="24"/>
      <c r="E426" s="24"/>
      <c r="F426" s="24"/>
      <c r="G426" s="24"/>
      <c r="H426" s="24"/>
      <c r="I426" s="24"/>
      <c r="J426" s="29" t="s">
        <v>223</v>
      </c>
      <c r="K426" s="24"/>
    </row>
    <row r="427" spans="1:11" x14ac:dyDescent="0.2">
      <c r="A427" s="9">
        <v>426</v>
      </c>
      <c r="B427" s="9" t="str">
        <f t="shared" si="18"/>
        <v/>
      </c>
      <c r="C427" s="24"/>
      <c r="D427" s="24"/>
      <c r="E427" s="24"/>
      <c r="F427" s="24"/>
      <c r="G427" s="24"/>
      <c r="H427" s="24"/>
      <c r="I427" s="24"/>
      <c r="J427" s="29" t="s">
        <v>224</v>
      </c>
      <c r="K427" s="24"/>
    </row>
    <row r="428" spans="1:11" x14ac:dyDescent="0.2">
      <c r="A428" s="9">
        <v>427</v>
      </c>
      <c r="B428" s="9" t="str">
        <f t="shared" si="18"/>
        <v/>
      </c>
      <c r="C428" s="24"/>
      <c r="D428" s="24"/>
      <c r="E428" s="24"/>
      <c r="F428" s="24"/>
      <c r="G428" s="24"/>
      <c r="H428" s="24"/>
      <c r="I428" s="24"/>
      <c r="J428" s="29" t="s">
        <v>225</v>
      </c>
      <c r="K428" s="24"/>
    </row>
    <row r="429" spans="1:11" x14ac:dyDescent="0.2">
      <c r="A429" s="9">
        <v>428</v>
      </c>
      <c r="B429" s="9" t="str">
        <f t="shared" si="18"/>
        <v/>
      </c>
      <c r="C429" s="24"/>
      <c r="D429" s="24"/>
      <c r="E429" s="24"/>
      <c r="F429" s="24"/>
      <c r="G429" s="24"/>
      <c r="H429" s="24"/>
      <c r="I429" s="24"/>
      <c r="J429" s="29" t="s">
        <v>226</v>
      </c>
      <c r="K429" s="24"/>
    </row>
    <row r="430" spans="1:11" x14ac:dyDescent="0.2">
      <c r="A430" s="9">
        <v>429</v>
      </c>
      <c r="B430" s="9" t="str">
        <f t="shared" si="18"/>
        <v/>
      </c>
      <c r="C430" s="24"/>
      <c r="D430" s="24"/>
      <c r="E430" s="24"/>
      <c r="F430" s="24"/>
      <c r="G430" s="24"/>
      <c r="H430" s="24"/>
      <c r="I430" s="24"/>
      <c r="J430" s="29" t="s">
        <v>227</v>
      </c>
      <c r="K430" s="24"/>
    </row>
    <row r="431" spans="1:11" x14ac:dyDescent="0.2">
      <c r="A431" s="9">
        <v>430</v>
      </c>
      <c r="B431" s="9" t="str">
        <f t="shared" si="18"/>
        <v/>
      </c>
      <c r="C431" s="24"/>
      <c r="D431" s="24"/>
      <c r="E431" s="24"/>
      <c r="F431" s="24"/>
      <c r="G431" s="24"/>
      <c r="H431" s="24"/>
      <c r="I431" s="24"/>
      <c r="J431" s="29" t="s">
        <v>228</v>
      </c>
      <c r="K431" s="24"/>
    </row>
    <row r="432" spans="1:11" x14ac:dyDescent="0.2">
      <c r="A432" s="9">
        <v>431</v>
      </c>
      <c r="B432" s="9" t="str">
        <f t="shared" si="18"/>
        <v/>
      </c>
      <c r="C432" s="24"/>
      <c r="D432" s="24"/>
      <c r="E432" s="24"/>
      <c r="F432" s="24"/>
      <c r="G432" s="24"/>
      <c r="H432" s="24"/>
      <c r="I432" s="24"/>
      <c r="J432" s="29" t="s">
        <v>229</v>
      </c>
      <c r="K432" s="24"/>
    </row>
    <row r="433" spans="1:11" x14ac:dyDescent="0.2">
      <c r="A433" s="9">
        <v>432</v>
      </c>
      <c r="B433" s="9" t="str">
        <f t="shared" si="18"/>
        <v/>
      </c>
      <c r="C433" s="24"/>
      <c r="D433" s="24"/>
      <c r="E433" s="24"/>
      <c r="F433" s="24"/>
      <c r="G433" s="24"/>
      <c r="H433" s="24"/>
      <c r="I433" s="24"/>
      <c r="J433" s="29" t="s">
        <v>230</v>
      </c>
      <c r="K433" s="24"/>
    </row>
    <row r="434" spans="1:11" x14ac:dyDescent="0.2">
      <c r="A434" s="9">
        <v>433</v>
      </c>
      <c r="B434" s="9" t="str">
        <f t="shared" si="18"/>
        <v/>
      </c>
      <c r="C434" s="24"/>
      <c r="D434" s="24"/>
      <c r="E434" s="24"/>
      <c r="F434" s="24"/>
      <c r="G434" s="24"/>
      <c r="H434" s="24"/>
      <c r="I434" s="24"/>
      <c r="J434" s="29" t="s">
        <v>231</v>
      </c>
      <c r="K434" s="24"/>
    </row>
    <row r="435" spans="1:11" x14ac:dyDescent="0.2">
      <c r="A435" s="9">
        <v>434</v>
      </c>
      <c r="B435" s="9" t="str">
        <f t="shared" si="18"/>
        <v/>
      </c>
      <c r="C435" s="24"/>
      <c r="D435" s="24"/>
      <c r="E435" s="24"/>
      <c r="F435" s="24"/>
      <c r="G435" s="24"/>
      <c r="H435" s="24"/>
      <c r="I435" s="24"/>
      <c r="J435" s="29" t="s">
        <v>232</v>
      </c>
      <c r="K435" s="24"/>
    </row>
    <row r="436" spans="1:11" x14ac:dyDescent="0.2">
      <c r="A436" s="9">
        <v>435</v>
      </c>
      <c r="B436" s="9" t="str">
        <f t="shared" si="18"/>
        <v/>
      </c>
      <c r="C436" s="24"/>
      <c r="D436" s="24"/>
      <c r="E436" s="24"/>
      <c r="F436" s="24"/>
      <c r="G436" s="24"/>
      <c r="H436" s="24"/>
      <c r="I436" s="24"/>
      <c r="J436" s="29" t="s">
        <v>233</v>
      </c>
      <c r="K436" s="24"/>
    </row>
    <row r="437" spans="1:11" x14ac:dyDescent="0.2">
      <c r="A437" s="9">
        <v>436</v>
      </c>
      <c r="B437" s="9" t="str">
        <f t="shared" si="18"/>
        <v/>
      </c>
      <c r="C437" s="24"/>
      <c r="D437" s="24"/>
      <c r="E437" s="24"/>
      <c r="F437" s="24"/>
      <c r="G437" s="24"/>
      <c r="H437" s="24"/>
      <c r="I437" s="24"/>
      <c r="J437" s="29" t="s">
        <v>234</v>
      </c>
      <c r="K437" s="24"/>
    </row>
    <row r="438" spans="1:11" x14ac:dyDescent="0.2">
      <c r="A438" s="9">
        <v>437</v>
      </c>
      <c r="B438" s="9" t="str">
        <f t="shared" si="18"/>
        <v/>
      </c>
      <c r="C438" s="24"/>
      <c r="D438" s="24"/>
      <c r="E438" s="24"/>
      <c r="F438" s="24"/>
      <c r="G438" s="24"/>
      <c r="H438" s="24"/>
      <c r="I438" s="24"/>
      <c r="J438" s="29" t="s">
        <v>235</v>
      </c>
      <c r="K438" s="24"/>
    </row>
    <row r="439" spans="1:11" x14ac:dyDescent="0.2">
      <c r="A439" s="9">
        <v>438</v>
      </c>
      <c r="B439" s="9" t="str">
        <f t="shared" si="18"/>
        <v/>
      </c>
      <c r="C439" s="24"/>
      <c r="D439" s="24"/>
      <c r="E439" s="24"/>
      <c r="F439" s="24"/>
      <c r="G439" s="24"/>
      <c r="H439" s="24"/>
      <c r="I439" s="24"/>
      <c r="J439" s="29" t="s">
        <v>236</v>
      </c>
      <c r="K439" s="24"/>
    </row>
    <row r="440" spans="1:11" x14ac:dyDescent="0.2">
      <c r="A440" s="9">
        <v>439</v>
      </c>
      <c r="B440" s="9" t="str">
        <f t="shared" si="18"/>
        <v/>
      </c>
      <c r="C440" s="24"/>
      <c r="D440" s="24"/>
      <c r="E440" s="24"/>
      <c r="F440" s="24"/>
      <c r="G440" s="24"/>
      <c r="H440" s="24"/>
      <c r="I440" s="24"/>
      <c r="J440" s="29" t="s">
        <v>237</v>
      </c>
      <c r="K440" s="24"/>
    </row>
    <row r="441" spans="1:11" x14ac:dyDescent="0.2">
      <c r="A441" s="9">
        <v>440</v>
      </c>
      <c r="B441" s="9" t="str">
        <f t="shared" si="18"/>
        <v/>
      </c>
      <c r="C441" s="24"/>
      <c r="D441" s="24"/>
      <c r="E441" s="24"/>
      <c r="F441" s="24"/>
      <c r="G441" s="24"/>
      <c r="H441" s="24"/>
      <c r="I441" s="24"/>
      <c r="J441" s="29" t="s">
        <v>238</v>
      </c>
      <c r="K441" s="24"/>
    </row>
    <row r="442" spans="1:11" x14ac:dyDescent="0.2">
      <c r="A442" s="9">
        <v>441</v>
      </c>
      <c r="B442" s="9" t="str">
        <f t="shared" si="18"/>
        <v/>
      </c>
      <c r="C442" s="24"/>
      <c r="D442" s="24"/>
      <c r="E442" s="24"/>
      <c r="F442" s="24"/>
      <c r="G442" s="24"/>
      <c r="H442" s="24"/>
      <c r="I442" s="24"/>
      <c r="J442" s="29" t="s">
        <v>239</v>
      </c>
      <c r="K442" s="24"/>
    </row>
    <row r="443" spans="1:11" x14ac:dyDescent="0.2">
      <c r="A443" s="9">
        <v>442</v>
      </c>
      <c r="B443" s="9" t="str">
        <f t="shared" si="18"/>
        <v/>
      </c>
      <c r="C443" s="24"/>
      <c r="D443" s="24"/>
      <c r="E443" s="24"/>
      <c r="F443" s="24"/>
      <c r="G443" s="24"/>
      <c r="H443" s="24"/>
      <c r="I443" s="24"/>
      <c r="J443" s="29" t="s">
        <v>240</v>
      </c>
      <c r="K443" s="24"/>
    </row>
    <row r="444" spans="1:11" x14ac:dyDescent="0.2">
      <c r="A444" s="9">
        <v>443</v>
      </c>
      <c r="B444" s="9" t="str">
        <f t="shared" si="18"/>
        <v/>
      </c>
      <c r="C444" s="24"/>
      <c r="D444" s="24"/>
      <c r="E444" s="24"/>
      <c r="F444" s="24"/>
      <c r="G444" s="24"/>
      <c r="H444" s="24"/>
      <c r="I444" s="24"/>
      <c r="J444" s="29" t="s">
        <v>241</v>
      </c>
      <c r="K444" s="24"/>
    </row>
    <row r="445" spans="1:11" x14ac:dyDescent="0.2">
      <c r="A445" s="9">
        <v>444</v>
      </c>
      <c r="B445" s="9" t="str">
        <f t="shared" si="18"/>
        <v/>
      </c>
      <c r="C445" s="24"/>
      <c r="D445" s="24"/>
      <c r="E445" s="24"/>
      <c r="F445" s="24"/>
      <c r="G445" s="24"/>
      <c r="H445" s="24"/>
      <c r="I445" s="24"/>
      <c r="J445" s="29" t="s">
        <v>241</v>
      </c>
      <c r="K445" s="24"/>
    </row>
    <row r="446" spans="1:11" x14ac:dyDescent="0.2">
      <c r="A446" s="9">
        <v>445</v>
      </c>
      <c r="B446" s="9" t="str">
        <f t="shared" si="18"/>
        <v/>
      </c>
      <c r="C446" s="24"/>
      <c r="D446" s="24"/>
      <c r="E446" s="24"/>
      <c r="F446" s="24"/>
      <c r="G446" s="24"/>
      <c r="H446" s="24"/>
      <c r="I446" s="24"/>
      <c r="J446" s="29" t="s">
        <v>242</v>
      </c>
      <c r="K446" s="24"/>
    </row>
    <row r="447" spans="1:11" x14ac:dyDescent="0.2">
      <c r="A447" s="9">
        <v>446</v>
      </c>
      <c r="B447" s="9" t="str">
        <f t="shared" si="18"/>
        <v/>
      </c>
      <c r="C447" s="24"/>
      <c r="D447" s="24"/>
      <c r="E447" s="24"/>
      <c r="F447" s="24"/>
      <c r="G447" s="24"/>
      <c r="H447" s="24"/>
      <c r="I447" s="24"/>
      <c r="J447" s="29" t="s">
        <v>243</v>
      </c>
      <c r="K447" s="24"/>
    </row>
    <row r="448" spans="1:11" x14ac:dyDescent="0.2">
      <c r="A448" s="9">
        <v>447</v>
      </c>
      <c r="B448" s="9" t="str">
        <f t="shared" si="18"/>
        <v/>
      </c>
      <c r="C448" s="24"/>
      <c r="D448" s="24"/>
      <c r="E448" s="24"/>
      <c r="F448" s="24"/>
      <c r="G448" s="24"/>
      <c r="H448" s="24"/>
      <c r="I448" s="24"/>
      <c r="J448" s="29" t="s">
        <v>244</v>
      </c>
      <c r="K448" s="24"/>
    </row>
    <row r="449" spans="1:11" x14ac:dyDescent="0.2">
      <c r="A449" s="9">
        <v>448</v>
      </c>
      <c r="B449" s="9" t="str">
        <f t="shared" si="18"/>
        <v/>
      </c>
      <c r="C449" s="24"/>
      <c r="D449" s="24"/>
      <c r="E449" s="24"/>
      <c r="F449" s="24"/>
      <c r="G449" s="24"/>
      <c r="H449" s="24"/>
      <c r="I449" s="24"/>
      <c r="J449" s="29" t="s">
        <v>245</v>
      </c>
      <c r="K449" s="24"/>
    </row>
    <row r="450" spans="1:11" x14ac:dyDescent="0.2">
      <c r="A450" s="9">
        <v>449</v>
      </c>
      <c r="B450" s="9" t="str">
        <f t="shared" si="18"/>
        <v/>
      </c>
      <c r="C450" s="24"/>
      <c r="D450" s="24"/>
      <c r="E450" s="24"/>
      <c r="F450" s="24"/>
      <c r="G450" s="24"/>
      <c r="H450" s="24"/>
      <c r="I450" s="24"/>
      <c r="J450" s="29" t="s">
        <v>246</v>
      </c>
      <c r="K450" s="24"/>
    </row>
    <row r="451" spans="1:11" x14ac:dyDescent="0.2">
      <c r="A451" s="9">
        <v>450</v>
      </c>
      <c r="B451" s="9" t="str">
        <f t="shared" si="18"/>
        <v/>
      </c>
      <c r="C451" s="24"/>
      <c r="D451" s="24"/>
      <c r="E451" s="24"/>
      <c r="F451" s="24"/>
      <c r="G451" s="24"/>
      <c r="H451" s="24"/>
      <c r="I451" s="24"/>
      <c r="J451" s="29" t="s">
        <v>247</v>
      </c>
      <c r="K451" s="24"/>
    </row>
    <row r="452" spans="1:11" x14ac:dyDescent="0.2">
      <c r="A452" s="9">
        <v>451</v>
      </c>
      <c r="B452" s="9" t="str">
        <f t="shared" ref="B452:B474" si="19">IF(HLOOKUP($B$2,$C$2:$K$474,A452,0)=0,"",HLOOKUP($B$2,$C$2:$K$474,A452,0))</f>
        <v/>
      </c>
      <c r="C452" s="24"/>
      <c r="D452" s="24"/>
      <c r="E452" s="24"/>
      <c r="F452" s="24"/>
      <c r="G452" s="24"/>
      <c r="H452" s="24"/>
      <c r="I452" s="24"/>
      <c r="J452" s="29" t="s">
        <v>248</v>
      </c>
      <c r="K452" s="24"/>
    </row>
    <row r="453" spans="1:11" x14ac:dyDescent="0.2">
      <c r="A453" s="9">
        <v>452</v>
      </c>
      <c r="B453" s="9" t="str">
        <f t="shared" si="19"/>
        <v/>
      </c>
      <c r="C453" s="24"/>
      <c r="D453" s="24"/>
      <c r="E453" s="24"/>
      <c r="F453" s="24"/>
      <c r="G453" s="24"/>
      <c r="H453" s="24"/>
      <c r="I453" s="24"/>
      <c r="J453" s="29" t="s">
        <v>249</v>
      </c>
      <c r="K453" s="24"/>
    </row>
    <row r="454" spans="1:11" x14ac:dyDescent="0.2">
      <c r="A454" s="9">
        <v>453</v>
      </c>
      <c r="B454" s="9" t="str">
        <f t="shared" si="19"/>
        <v/>
      </c>
      <c r="C454" s="24"/>
      <c r="D454" s="24"/>
      <c r="E454" s="24"/>
      <c r="F454" s="24"/>
      <c r="G454" s="24"/>
      <c r="H454" s="24"/>
      <c r="I454" s="24"/>
      <c r="J454" s="29" t="s">
        <v>250</v>
      </c>
      <c r="K454" s="24"/>
    </row>
    <row r="455" spans="1:11" x14ac:dyDescent="0.2">
      <c r="A455" s="9">
        <v>454</v>
      </c>
      <c r="B455" s="9" t="str">
        <f t="shared" si="19"/>
        <v/>
      </c>
      <c r="C455" s="24"/>
      <c r="D455" s="24"/>
      <c r="E455" s="24"/>
      <c r="F455" s="24"/>
      <c r="G455" s="24"/>
      <c r="H455" s="24"/>
      <c r="I455" s="24"/>
      <c r="J455" s="29" t="s">
        <v>251</v>
      </c>
      <c r="K455" s="24"/>
    </row>
    <row r="456" spans="1:11" x14ac:dyDescent="0.2">
      <c r="A456" s="9">
        <v>455</v>
      </c>
      <c r="B456" s="9" t="str">
        <f t="shared" si="19"/>
        <v/>
      </c>
      <c r="C456" s="24"/>
      <c r="D456" s="24"/>
      <c r="E456" s="24"/>
      <c r="F456" s="24"/>
      <c r="G456" s="24"/>
      <c r="H456" s="24"/>
      <c r="I456" s="24"/>
      <c r="J456" s="29" t="s">
        <v>252</v>
      </c>
      <c r="K456" s="24"/>
    </row>
    <row r="457" spans="1:11" x14ac:dyDescent="0.2">
      <c r="A457" s="9">
        <v>456</v>
      </c>
      <c r="B457" s="9" t="str">
        <f t="shared" si="19"/>
        <v/>
      </c>
      <c r="C457" s="24"/>
      <c r="D457" s="24"/>
      <c r="E457" s="24"/>
      <c r="F457" s="24"/>
      <c r="G457" s="24"/>
      <c r="H457" s="24"/>
      <c r="I457" s="24"/>
      <c r="J457" s="29" t="s">
        <v>253</v>
      </c>
      <c r="K457" s="24"/>
    </row>
    <row r="458" spans="1:11" x14ac:dyDescent="0.2">
      <c r="A458" s="9">
        <v>457</v>
      </c>
      <c r="B458" s="9" t="str">
        <f t="shared" si="19"/>
        <v/>
      </c>
      <c r="C458" s="24"/>
      <c r="D458" s="24"/>
      <c r="E458" s="24"/>
      <c r="F458" s="24"/>
      <c r="G458" s="24"/>
      <c r="H458" s="24"/>
      <c r="I458" s="24"/>
      <c r="J458" s="29" t="s">
        <v>254</v>
      </c>
      <c r="K458" s="24"/>
    </row>
    <row r="459" spans="1:11" x14ac:dyDescent="0.2">
      <c r="A459" s="9">
        <v>458</v>
      </c>
      <c r="B459" s="9" t="str">
        <f t="shared" si="19"/>
        <v/>
      </c>
      <c r="C459" s="24"/>
      <c r="D459" s="24"/>
      <c r="E459" s="24"/>
      <c r="F459" s="24"/>
      <c r="G459" s="24"/>
      <c r="H459" s="24"/>
      <c r="I459" s="24"/>
      <c r="J459" s="29" t="s">
        <v>255</v>
      </c>
      <c r="K459" s="24"/>
    </row>
    <row r="460" spans="1:11" x14ac:dyDescent="0.2">
      <c r="A460" s="9">
        <v>459</v>
      </c>
      <c r="B460" s="9" t="str">
        <f t="shared" si="19"/>
        <v/>
      </c>
      <c r="C460" s="24"/>
      <c r="D460" s="24"/>
      <c r="E460" s="24"/>
      <c r="F460" s="24"/>
      <c r="G460" s="24"/>
      <c r="H460" s="24"/>
      <c r="I460" s="24"/>
      <c r="J460" s="29" t="s">
        <v>256</v>
      </c>
      <c r="K460" s="24"/>
    </row>
    <row r="461" spans="1:11" x14ac:dyDescent="0.2">
      <c r="A461" s="9">
        <v>460</v>
      </c>
      <c r="B461" s="9" t="str">
        <f t="shared" si="19"/>
        <v/>
      </c>
      <c r="C461" s="24"/>
      <c r="D461" s="24"/>
      <c r="E461" s="24"/>
      <c r="F461" s="24"/>
      <c r="G461" s="24"/>
      <c r="H461" s="24"/>
      <c r="I461" s="24"/>
      <c r="J461" s="29" t="s">
        <v>257</v>
      </c>
      <c r="K461" s="24"/>
    </row>
    <row r="462" spans="1:11" x14ac:dyDescent="0.2">
      <c r="A462" s="9">
        <v>461</v>
      </c>
      <c r="B462" s="9" t="str">
        <f t="shared" si="19"/>
        <v/>
      </c>
      <c r="C462" s="24"/>
      <c r="D462" s="24"/>
      <c r="E462" s="24"/>
      <c r="F462" s="24"/>
      <c r="G462" s="24"/>
      <c r="H462" s="24"/>
      <c r="I462" s="24"/>
      <c r="J462" s="29" t="s">
        <v>258</v>
      </c>
      <c r="K462" s="24"/>
    </row>
    <row r="463" spans="1:11" x14ac:dyDescent="0.2">
      <c r="A463" s="9">
        <v>462</v>
      </c>
      <c r="B463" s="9" t="str">
        <f t="shared" si="19"/>
        <v/>
      </c>
      <c r="C463" s="24"/>
      <c r="D463" s="24"/>
      <c r="E463" s="24"/>
      <c r="F463" s="24"/>
      <c r="G463" s="24"/>
      <c r="H463" s="24"/>
      <c r="I463" s="24"/>
      <c r="J463" s="29" t="s">
        <v>258</v>
      </c>
      <c r="K463" s="24"/>
    </row>
    <row r="464" spans="1:11" x14ac:dyDescent="0.2">
      <c r="A464" s="9">
        <v>463</v>
      </c>
      <c r="B464" s="9" t="str">
        <f t="shared" si="19"/>
        <v/>
      </c>
      <c r="C464" s="24"/>
      <c r="D464" s="24"/>
      <c r="E464" s="24"/>
      <c r="F464" s="24"/>
      <c r="G464" s="24"/>
      <c r="H464" s="24"/>
      <c r="I464" s="24"/>
      <c r="J464" s="29" t="s">
        <v>259</v>
      </c>
      <c r="K464" s="24"/>
    </row>
    <row r="465" spans="1:11" x14ac:dyDescent="0.2">
      <c r="A465" s="9">
        <v>464</v>
      </c>
      <c r="B465" s="9" t="str">
        <f t="shared" si="19"/>
        <v/>
      </c>
      <c r="C465" s="24"/>
      <c r="D465" s="24"/>
      <c r="E465" s="24"/>
      <c r="F465" s="24"/>
      <c r="G465" s="24"/>
      <c r="H465" s="24"/>
      <c r="I465" s="24"/>
      <c r="J465" s="29" t="s">
        <v>260</v>
      </c>
      <c r="K465" s="24"/>
    </row>
    <row r="466" spans="1:11" x14ac:dyDescent="0.2">
      <c r="A466" s="9">
        <v>465</v>
      </c>
      <c r="B466" s="9" t="str">
        <f t="shared" si="19"/>
        <v/>
      </c>
      <c r="C466" s="24"/>
      <c r="D466" s="24"/>
      <c r="E466" s="24"/>
      <c r="F466" s="24"/>
      <c r="G466" s="24"/>
      <c r="H466" s="24"/>
      <c r="I466" s="24"/>
      <c r="J466" s="29" t="s">
        <v>261</v>
      </c>
      <c r="K466" s="24"/>
    </row>
    <row r="467" spans="1:11" x14ac:dyDescent="0.2">
      <c r="A467" s="9">
        <v>466</v>
      </c>
      <c r="B467" s="9" t="str">
        <f t="shared" si="19"/>
        <v/>
      </c>
      <c r="C467" s="24"/>
      <c r="D467" s="24"/>
      <c r="E467" s="24"/>
      <c r="F467" s="24"/>
      <c r="G467" s="24"/>
      <c r="H467" s="24"/>
      <c r="I467" s="24"/>
      <c r="J467" s="29" t="s">
        <v>262</v>
      </c>
      <c r="K467" s="24"/>
    </row>
    <row r="468" spans="1:11" x14ac:dyDescent="0.2">
      <c r="A468" s="9">
        <v>467</v>
      </c>
      <c r="B468" s="9" t="str">
        <f t="shared" si="19"/>
        <v/>
      </c>
      <c r="C468" s="24"/>
      <c r="D468" s="24"/>
      <c r="E468" s="24"/>
      <c r="F468" s="24"/>
      <c r="G468" s="24"/>
      <c r="H468" s="24"/>
      <c r="I468" s="24"/>
      <c r="J468" s="29" t="s">
        <v>263</v>
      </c>
      <c r="K468" s="24"/>
    </row>
    <row r="469" spans="1:11" x14ac:dyDescent="0.2">
      <c r="A469" s="9">
        <v>468</v>
      </c>
      <c r="B469" s="9" t="str">
        <f t="shared" si="19"/>
        <v/>
      </c>
      <c r="C469" s="24"/>
      <c r="D469" s="24"/>
      <c r="E469" s="24"/>
      <c r="F469" s="24"/>
      <c r="G469" s="24"/>
      <c r="H469" s="24"/>
      <c r="I469" s="24"/>
      <c r="J469" s="29" t="s">
        <v>264</v>
      </c>
      <c r="K469" s="24"/>
    </row>
    <row r="470" spans="1:11" x14ac:dyDescent="0.2">
      <c r="A470" s="9">
        <v>469</v>
      </c>
      <c r="B470" s="9" t="str">
        <f t="shared" si="19"/>
        <v/>
      </c>
      <c r="C470" s="24"/>
      <c r="D470" s="24"/>
      <c r="E470" s="24"/>
      <c r="F470" s="24"/>
      <c r="G470" s="24"/>
      <c r="H470" s="24"/>
      <c r="I470" s="24"/>
      <c r="J470" s="29" t="s">
        <v>265</v>
      </c>
      <c r="K470" s="24"/>
    </row>
    <row r="471" spans="1:11" x14ac:dyDescent="0.2">
      <c r="A471" s="9">
        <v>470</v>
      </c>
      <c r="B471" s="9" t="str">
        <f t="shared" si="19"/>
        <v/>
      </c>
      <c r="C471" s="24"/>
      <c r="D471" s="24"/>
      <c r="E471" s="24"/>
      <c r="F471" s="24"/>
      <c r="G471" s="24"/>
      <c r="H471" s="24"/>
      <c r="I471" s="24"/>
      <c r="J471" s="29" t="s">
        <v>266</v>
      </c>
      <c r="K471" s="24"/>
    </row>
    <row r="472" spans="1:11" x14ac:dyDescent="0.2">
      <c r="A472" s="9">
        <v>471</v>
      </c>
      <c r="B472" s="9" t="str">
        <f t="shared" si="19"/>
        <v/>
      </c>
      <c r="C472" s="24"/>
      <c r="D472" s="24"/>
      <c r="E472" s="24"/>
      <c r="F472" s="24"/>
      <c r="G472" s="24"/>
      <c r="H472" s="24"/>
      <c r="I472" s="24"/>
      <c r="J472" s="29" t="s">
        <v>267</v>
      </c>
      <c r="K472" s="24"/>
    </row>
    <row r="473" spans="1:11" x14ac:dyDescent="0.2">
      <c r="A473" s="9">
        <v>472</v>
      </c>
      <c r="B473" s="9" t="str">
        <f t="shared" si="19"/>
        <v/>
      </c>
      <c r="C473" s="24"/>
      <c r="D473" s="24"/>
      <c r="E473" s="24"/>
      <c r="F473" s="24"/>
      <c r="G473" s="24"/>
      <c r="H473" s="24"/>
      <c r="I473" s="24"/>
      <c r="J473" s="29" t="s">
        <v>268</v>
      </c>
      <c r="K473" s="24"/>
    </row>
    <row r="474" spans="1:11" x14ac:dyDescent="0.2">
      <c r="A474" s="9">
        <v>473</v>
      </c>
      <c r="B474" s="9" t="str">
        <f t="shared" si="19"/>
        <v/>
      </c>
      <c r="C474" s="24"/>
      <c r="D474" s="24"/>
      <c r="E474" s="24"/>
      <c r="F474" s="24"/>
      <c r="G474" s="24"/>
      <c r="H474" s="24"/>
      <c r="I474" s="24"/>
      <c r="J474" s="29" t="s">
        <v>269</v>
      </c>
      <c r="K474" s="24"/>
    </row>
  </sheetData>
  <sortState xmlns:xlrd2="http://schemas.microsoft.com/office/spreadsheetml/2017/richdata2" ref="AG31:AG44">
    <sortCondition ref="AG31:AG44"/>
  </sortState>
  <mergeCells count="15">
    <mergeCell ref="Z34:AA34"/>
    <mergeCell ref="AN1:AT1"/>
    <mergeCell ref="W26:AA26"/>
    <mergeCell ref="W28:AA28"/>
    <mergeCell ref="Y1:AL1"/>
    <mergeCell ref="Y7:AL7"/>
    <mergeCell ref="Y13:AL13"/>
    <mergeCell ref="Y19:AL19"/>
    <mergeCell ref="Y20:AD20"/>
    <mergeCell ref="AE20:AL20"/>
    <mergeCell ref="E1:K1"/>
    <mergeCell ref="M1:U1"/>
    <mergeCell ref="O26:Q26"/>
    <mergeCell ref="O37:Q37"/>
    <mergeCell ref="O47:Q47"/>
  </mergeCells>
  <conditionalFormatting sqref="E49:E71">
    <cfRule type="duplicateValues" dxfId="252" priority="272"/>
  </conditionalFormatting>
  <conditionalFormatting sqref="E48">
    <cfRule type="duplicateValues" dxfId="251" priority="268"/>
  </conditionalFormatting>
  <conditionalFormatting sqref="E3:E52">
    <cfRule type="duplicateValues" dxfId="250" priority="267"/>
  </conditionalFormatting>
  <conditionalFormatting sqref="I3:I6">
    <cfRule type="duplicateValues" dxfId="249" priority="255"/>
  </conditionalFormatting>
  <conditionalFormatting sqref="E49">
    <cfRule type="duplicateValues" dxfId="248" priority="253"/>
  </conditionalFormatting>
  <conditionalFormatting sqref="E50">
    <cfRule type="duplicateValues" dxfId="247" priority="252"/>
  </conditionalFormatting>
  <conditionalFormatting sqref="E51">
    <cfRule type="duplicateValues" dxfId="246" priority="251"/>
  </conditionalFormatting>
  <conditionalFormatting sqref="E53">
    <cfRule type="duplicateValues" dxfId="245" priority="250"/>
  </conditionalFormatting>
  <conditionalFormatting sqref="E53">
    <cfRule type="duplicateValues" dxfId="244" priority="249"/>
  </conditionalFormatting>
  <conditionalFormatting sqref="E54">
    <cfRule type="duplicateValues" dxfId="243" priority="248"/>
  </conditionalFormatting>
  <conditionalFormatting sqref="E51">
    <cfRule type="duplicateValues" dxfId="242" priority="247"/>
  </conditionalFormatting>
  <conditionalFormatting sqref="E51">
    <cfRule type="duplicateValues" dxfId="241" priority="246"/>
  </conditionalFormatting>
  <conditionalFormatting sqref="E52">
    <cfRule type="duplicateValues" dxfId="240" priority="245"/>
  </conditionalFormatting>
  <conditionalFormatting sqref="E54">
    <cfRule type="duplicateValues" dxfId="239" priority="244"/>
  </conditionalFormatting>
  <conditionalFormatting sqref="E54">
    <cfRule type="duplicateValues" dxfId="238" priority="243"/>
  </conditionalFormatting>
  <conditionalFormatting sqref="E55">
    <cfRule type="duplicateValues" dxfId="237" priority="242"/>
  </conditionalFormatting>
  <conditionalFormatting sqref="E52">
    <cfRule type="duplicateValues" dxfId="236" priority="241"/>
  </conditionalFormatting>
  <conditionalFormatting sqref="E52">
    <cfRule type="duplicateValues" dxfId="235" priority="240"/>
  </conditionalFormatting>
  <conditionalFormatting sqref="E51">
    <cfRule type="duplicateValues" dxfId="234" priority="239"/>
  </conditionalFormatting>
  <conditionalFormatting sqref="E51">
    <cfRule type="duplicateValues" dxfId="233" priority="238"/>
  </conditionalFormatting>
  <conditionalFormatting sqref="E51">
    <cfRule type="duplicateValues" dxfId="232" priority="237"/>
  </conditionalFormatting>
  <conditionalFormatting sqref="E54">
    <cfRule type="duplicateValues" dxfId="231" priority="236"/>
  </conditionalFormatting>
  <conditionalFormatting sqref="E56">
    <cfRule type="duplicateValues" dxfId="230" priority="235"/>
  </conditionalFormatting>
  <conditionalFormatting sqref="E55">
    <cfRule type="duplicateValues" dxfId="229" priority="234"/>
  </conditionalFormatting>
  <conditionalFormatting sqref="E55">
    <cfRule type="duplicateValues" dxfId="228" priority="233"/>
  </conditionalFormatting>
  <conditionalFormatting sqref="C90:C101">
    <cfRule type="duplicateValues" dxfId="227" priority="230"/>
  </conditionalFormatting>
  <conditionalFormatting sqref="C91:C102">
    <cfRule type="duplicateValues" dxfId="226" priority="229"/>
  </conditionalFormatting>
  <conditionalFormatting sqref="C93:C104">
    <cfRule type="duplicateValues" dxfId="225" priority="228"/>
  </conditionalFormatting>
  <conditionalFormatting sqref="C87:C98">
    <cfRule type="duplicateValues" dxfId="224" priority="227"/>
  </conditionalFormatting>
  <conditionalFormatting sqref="C88:C99">
    <cfRule type="duplicateValues" dxfId="223" priority="226"/>
  </conditionalFormatting>
  <conditionalFormatting sqref="C90:C101">
    <cfRule type="duplicateValues" dxfId="222" priority="225"/>
  </conditionalFormatting>
  <conditionalFormatting sqref="C91:C102">
    <cfRule type="duplicateValues" dxfId="221" priority="224"/>
  </conditionalFormatting>
  <conditionalFormatting sqref="C81:C92">
    <cfRule type="duplicateValues" dxfId="220" priority="223"/>
  </conditionalFormatting>
  <conditionalFormatting sqref="C82:C93">
    <cfRule type="duplicateValues" dxfId="219" priority="222"/>
  </conditionalFormatting>
  <conditionalFormatting sqref="C84:C95">
    <cfRule type="duplicateValues" dxfId="218" priority="221"/>
  </conditionalFormatting>
  <conditionalFormatting sqref="C90:C101">
    <cfRule type="duplicateValues" dxfId="217" priority="220"/>
  </conditionalFormatting>
  <conditionalFormatting sqref="C91:C102">
    <cfRule type="duplicateValues" dxfId="216" priority="219"/>
  </conditionalFormatting>
  <conditionalFormatting sqref="C93:C104">
    <cfRule type="duplicateValues" dxfId="215" priority="218"/>
  </conditionalFormatting>
  <conditionalFormatting sqref="C92:C103">
    <cfRule type="duplicateValues" dxfId="214" priority="217"/>
  </conditionalFormatting>
  <conditionalFormatting sqref="C93:C104">
    <cfRule type="duplicateValues" dxfId="213" priority="216"/>
  </conditionalFormatting>
  <conditionalFormatting sqref="C95:C106">
    <cfRule type="duplicateValues" dxfId="212" priority="215"/>
  </conditionalFormatting>
  <conditionalFormatting sqref="C89:C100">
    <cfRule type="duplicateValues" dxfId="211" priority="214"/>
  </conditionalFormatting>
  <conditionalFormatting sqref="C90:C101">
    <cfRule type="duplicateValues" dxfId="210" priority="213"/>
  </conditionalFormatting>
  <conditionalFormatting sqref="C92:C103">
    <cfRule type="duplicateValues" dxfId="209" priority="212"/>
  </conditionalFormatting>
  <conditionalFormatting sqref="C93:C104">
    <cfRule type="duplicateValues" dxfId="208" priority="211"/>
  </conditionalFormatting>
  <conditionalFormatting sqref="C84:C95">
    <cfRule type="duplicateValues" dxfId="207" priority="209"/>
  </conditionalFormatting>
  <conditionalFormatting sqref="C86:C97">
    <cfRule type="duplicateValues" dxfId="206" priority="208"/>
  </conditionalFormatting>
  <conditionalFormatting sqref="C92:C103">
    <cfRule type="duplicateValues" dxfId="205" priority="207"/>
  </conditionalFormatting>
  <conditionalFormatting sqref="C93:C104">
    <cfRule type="duplicateValues" dxfId="204" priority="206"/>
  </conditionalFormatting>
  <conditionalFormatting sqref="C95:C106">
    <cfRule type="duplicateValues" dxfId="203" priority="205"/>
  </conditionalFormatting>
  <conditionalFormatting sqref="C91:C102">
    <cfRule type="duplicateValues" dxfId="202" priority="201"/>
  </conditionalFormatting>
  <conditionalFormatting sqref="C92:C103">
    <cfRule type="duplicateValues" dxfId="201" priority="200"/>
  </conditionalFormatting>
  <conditionalFormatting sqref="C94:C105">
    <cfRule type="duplicateValues" dxfId="200" priority="199"/>
  </conditionalFormatting>
  <conditionalFormatting sqref="C88:C99">
    <cfRule type="duplicateValues" dxfId="199" priority="198"/>
  </conditionalFormatting>
  <conditionalFormatting sqref="C89:C100">
    <cfRule type="duplicateValues" dxfId="198" priority="197"/>
  </conditionalFormatting>
  <conditionalFormatting sqref="C91:C102">
    <cfRule type="duplicateValues" dxfId="197" priority="196"/>
  </conditionalFormatting>
  <conditionalFormatting sqref="C92:C103">
    <cfRule type="duplicateValues" dxfId="196" priority="195"/>
  </conditionalFormatting>
  <conditionalFormatting sqref="C82:C93">
    <cfRule type="duplicateValues" dxfId="195" priority="194"/>
  </conditionalFormatting>
  <conditionalFormatting sqref="C85:C96">
    <cfRule type="duplicateValues" dxfId="194" priority="192"/>
  </conditionalFormatting>
  <conditionalFormatting sqref="C91:C102">
    <cfRule type="duplicateValues" dxfId="193" priority="191"/>
  </conditionalFormatting>
  <conditionalFormatting sqref="C92:C103">
    <cfRule type="duplicateValues" dxfId="192" priority="190"/>
  </conditionalFormatting>
  <conditionalFormatting sqref="C94:C105">
    <cfRule type="duplicateValues" dxfId="191" priority="189"/>
  </conditionalFormatting>
  <conditionalFormatting sqref="C93:C104">
    <cfRule type="duplicateValues" dxfId="190" priority="188"/>
  </conditionalFormatting>
  <conditionalFormatting sqref="C94:C105">
    <cfRule type="duplicateValues" dxfId="189" priority="187"/>
  </conditionalFormatting>
  <conditionalFormatting sqref="C96:C107">
    <cfRule type="duplicateValues" dxfId="188" priority="186"/>
  </conditionalFormatting>
  <conditionalFormatting sqref="C90:C101">
    <cfRule type="duplicateValues" dxfId="187" priority="185"/>
  </conditionalFormatting>
  <conditionalFormatting sqref="C91:C102">
    <cfRule type="duplicateValues" dxfId="186" priority="184"/>
  </conditionalFormatting>
  <conditionalFormatting sqref="C93:C104">
    <cfRule type="duplicateValues" dxfId="185" priority="183"/>
  </conditionalFormatting>
  <conditionalFormatting sqref="C94:C105">
    <cfRule type="duplicateValues" dxfId="184" priority="182"/>
  </conditionalFormatting>
  <conditionalFormatting sqref="C84:C95">
    <cfRule type="duplicateValues" dxfId="183" priority="181"/>
  </conditionalFormatting>
  <conditionalFormatting sqref="C85:C96">
    <cfRule type="duplicateValues" dxfId="182" priority="180"/>
  </conditionalFormatting>
  <conditionalFormatting sqref="C87:C98">
    <cfRule type="duplicateValues" dxfId="181" priority="179"/>
  </conditionalFormatting>
  <conditionalFormatting sqref="C93:C104">
    <cfRule type="duplicateValues" dxfId="180" priority="178"/>
  </conditionalFormatting>
  <conditionalFormatting sqref="C94:C105">
    <cfRule type="duplicateValues" dxfId="179" priority="177"/>
  </conditionalFormatting>
  <conditionalFormatting sqref="C96:C107">
    <cfRule type="duplicateValues" dxfId="178" priority="176"/>
  </conditionalFormatting>
  <conditionalFormatting sqref="C91:C102">
    <cfRule type="duplicateValues" dxfId="177" priority="174"/>
  </conditionalFormatting>
  <conditionalFormatting sqref="C92:C103">
    <cfRule type="duplicateValues" dxfId="176" priority="173"/>
  </conditionalFormatting>
  <conditionalFormatting sqref="C94:C105">
    <cfRule type="duplicateValues" dxfId="175" priority="172"/>
  </conditionalFormatting>
  <conditionalFormatting sqref="C88:C99">
    <cfRule type="duplicateValues" dxfId="174" priority="171"/>
  </conditionalFormatting>
  <conditionalFormatting sqref="C89:C100">
    <cfRule type="duplicateValues" dxfId="173" priority="170"/>
  </conditionalFormatting>
  <conditionalFormatting sqref="C91:C102">
    <cfRule type="duplicateValues" dxfId="172" priority="169"/>
  </conditionalFormatting>
  <conditionalFormatting sqref="C92:C103">
    <cfRule type="duplicateValues" dxfId="171" priority="168"/>
  </conditionalFormatting>
  <conditionalFormatting sqref="C85:C96">
    <cfRule type="duplicateValues" dxfId="170" priority="167"/>
  </conditionalFormatting>
  <conditionalFormatting sqref="C91:C102">
    <cfRule type="duplicateValues" dxfId="169" priority="166"/>
  </conditionalFormatting>
  <conditionalFormatting sqref="C92:C103">
    <cfRule type="duplicateValues" dxfId="168" priority="165"/>
  </conditionalFormatting>
  <conditionalFormatting sqref="C94:C105">
    <cfRule type="duplicateValues" dxfId="167" priority="164"/>
  </conditionalFormatting>
  <conditionalFormatting sqref="C93:C104">
    <cfRule type="duplicateValues" dxfId="166" priority="163"/>
  </conditionalFormatting>
  <conditionalFormatting sqref="C94:C105">
    <cfRule type="duplicateValues" dxfId="165" priority="162"/>
  </conditionalFormatting>
  <conditionalFormatting sqref="C96:C107">
    <cfRule type="duplicateValues" dxfId="164" priority="161"/>
  </conditionalFormatting>
  <conditionalFormatting sqref="C90:C101">
    <cfRule type="duplicateValues" dxfId="163" priority="160"/>
  </conditionalFormatting>
  <conditionalFormatting sqref="C91:C102">
    <cfRule type="duplicateValues" dxfId="162" priority="159"/>
  </conditionalFormatting>
  <conditionalFormatting sqref="C93:C104">
    <cfRule type="duplicateValues" dxfId="161" priority="158"/>
  </conditionalFormatting>
  <conditionalFormatting sqref="C94:C105">
    <cfRule type="duplicateValues" dxfId="160" priority="157"/>
  </conditionalFormatting>
  <conditionalFormatting sqref="C84:C95">
    <cfRule type="duplicateValues" dxfId="159" priority="156"/>
  </conditionalFormatting>
  <conditionalFormatting sqref="C85:C96">
    <cfRule type="duplicateValues" dxfId="158" priority="155"/>
  </conditionalFormatting>
  <conditionalFormatting sqref="C87:C98">
    <cfRule type="duplicateValues" dxfId="157" priority="154"/>
  </conditionalFormatting>
  <conditionalFormatting sqref="C93:C104">
    <cfRule type="duplicateValues" dxfId="156" priority="153"/>
  </conditionalFormatting>
  <conditionalFormatting sqref="C94:C105">
    <cfRule type="duplicateValues" dxfId="155" priority="152"/>
  </conditionalFormatting>
  <conditionalFormatting sqref="C96:C107">
    <cfRule type="duplicateValues" dxfId="154" priority="151"/>
  </conditionalFormatting>
  <conditionalFormatting sqref="C92:C103">
    <cfRule type="duplicateValues" dxfId="153" priority="150"/>
  </conditionalFormatting>
  <conditionalFormatting sqref="C93:C104">
    <cfRule type="duplicateValues" dxfId="152" priority="149"/>
  </conditionalFormatting>
  <conditionalFormatting sqref="C95:C106">
    <cfRule type="duplicateValues" dxfId="151" priority="148"/>
  </conditionalFormatting>
  <conditionalFormatting sqref="C89:C100">
    <cfRule type="duplicateValues" dxfId="150" priority="147"/>
  </conditionalFormatting>
  <conditionalFormatting sqref="C90:C101">
    <cfRule type="duplicateValues" dxfId="149" priority="146"/>
  </conditionalFormatting>
  <conditionalFormatting sqref="C92:C103">
    <cfRule type="duplicateValues" dxfId="148" priority="145"/>
  </conditionalFormatting>
  <conditionalFormatting sqref="C93:C104">
    <cfRule type="duplicateValues" dxfId="147" priority="144"/>
  </conditionalFormatting>
  <conditionalFormatting sqref="C84:C95">
    <cfRule type="duplicateValues" dxfId="146" priority="143"/>
  </conditionalFormatting>
  <conditionalFormatting sqref="C86:C97">
    <cfRule type="duplicateValues" dxfId="145" priority="142"/>
  </conditionalFormatting>
  <conditionalFormatting sqref="C92:C103">
    <cfRule type="duplicateValues" dxfId="144" priority="141"/>
  </conditionalFormatting>
  <conditionalFormatting sqref="C93:C104">
    <cfRule type="duplicateValues" dxfId="143" priority="140"/>
  </conditionalFormatting>
  <conditionalFormatting sqref="C95:C106">
    <cfRule type="duplicateValues" dxfId="142" priority="139"/>
  </conditionalFormatting>
  <conditionalFormatting sqref="C94:C105">
    <cfRule type="duplicateValues" dxfId="141" priority="138"/>
  </conditionalFormatting>
  <conditionalFormatting sqref="C95:C106">
    <cfRule type="duplicateValues" dxfId="140" priority="137"/>
  </conditionalFormatting>
  <conditionalFormatting sqref="C97:C108">
    <cfRule type="duplicateValues" dxfId="139" priority="136"/>
  </conditionalFormatting>
  <conditionalFormatting sqref="C91:C102">
    <cfRule type="duplicateValues" dxfId="138" priority="135"/>
  </conditionalFormatting>
  <conditionalFormatting sqref="C92:C103">
    <cfRule type="duplicateValues" dxfId="137" priority="134"/>
  </conditionalFormatting>
  <conditionalFormatting sqref="C94:C105">
    <cfRule type="duplicateValues" dxfId="136" priority="133"/>
  </conditionalFormatting>
  <conditionalFormatting sqref="C95:C106">
    <cfRule type="duplicateValues" dxfId="135" priority="132"/>
  </conditionalFormatting>
  <conditionalFormatting sqref="C85:C96">
    <cfRule type="duplicateValues" dxfId="134" priority="131"/>
  </conditionalFormatting>
  <conditionalFormatting sqref="C86:C97">
    <cfRule type="duplicateValues" dxfId="133" priority="130"/>
  </conditionalFormatting>
  <conditionalFormatting sqref="C88:C99">
    <cfRule type="duplicateValues" dxfId="132" priority="129"/>
  </conditionalFormatting>
  <conditionalFormatting sqref="C94:C105">
    <cfRule type="duplicateValues" dxfId="131" priority="128"/>
  </conditionalFormatting>
  <conditionalFormatting sqref="C95:C106">
    <cfRule type="duplicateValues" dxfId="130" priority="127"/>
  </conditionalFormatting>
  <conditionalFormatting sqref="C97:C108">
    <cfRule type="duplicateValues" dxfId="129" priority="126"/>
  </conditionalFormatting>
  <conditionalFormatting sqref="C83:C94">
    <cfRule type="duplicateValues" dxfId="128" priority="125"/>
  </conditionalFormatting>
  <conditionalFormatting sqref="C83:C94">
    <cfRule type="duplicateValues" dxfId="127" priority="124"/>
  </conditionalFormatting>
  <conditionalFormatting sqref="C91:C102">
    <cfRule type="duplicateValues" dxfId="126" priority="123"/>
  </conditionalFormatting>
  <conditionalFormatting sqref="C92:C103">
    <cfRule type="duplicateValues" dxfId="125" priority="122"/>
  </conditionalFormatting>
  <conditionalFormatting sqref="C94:C105">
    <cfRule type="duplicateValues" dxfId="124" priority="121"/>
  </conditionalFormatting>
  <conditionalFormatting sqref="C88:C99">
    <cfRule type="duplicateValues" dxfId="123" priority="120"/>
  </conditionalFormatting>
  <conditionalFormatting sqref="C89:C100">
    <cfRule type="duplicateValues" dxfId="122" priority="119"/>
  </conditionalFormatting>
  <conditionalFormatting sqref="C91:C102">
    <cfRule type="duplicateValues" dxfId="121" priority="118"/>
  </conditionalFormatting>
  <conditionalFormatting sqref="C92:C103">
    <cfRule type="duplicateValues" dxfId="120" priority="117"/>
  </conditionalFormatting>
  <conditionalFormatting sqref="C85:C96">
    <cfRule type="duplicateValues" dxfId="119" priority="116"/>
  </conditionalFormatting>
  <conditionalFormatting sqref="C91:C102">
    <cfRule type="duplicateValues" dxfId="118" priority="115"/>
  </conditionalFormatting>
  <conditionalFormatting sqref="C92:C103">
    <cfRule type="duplicateValues" dxfId="117" priority="114"/>
  </conditionalFormatting>
  <conditionalFormatting sqref="C94:C105">
    <cfRule type="duplicateValues" dxfId="116" priority="113"/>
  </conditionalFormatting>
  <conditionalFormatting sqref="C93:C104">
    <cfRule type="duplicateValues" dxfId="115" priority="112"/>
  </conditionalFormatting>
  <conditionalFormatting sqref="C94:C105">
    <cfRule type="duplicateValues" dxfId="114" priority="111"/>
  </conditionalFormatting>
  <conditionalFormatting sqref="C96:C107">
    <cfRule type="duplicateValues" dxfId="113" priority="110"/>
  </conditionalFormatting>
  <conditionalFormatting sqref="C90:C101">
    <cfRule type="duplicateValues" dxfId="112" priority="109"/>
  </conditionalFormatting>
  <conditionalFormatting sqref="C91:C102">
    <cfRule type="duplicateValues" dxfId="111" priority="108"/>
  </conditionalFormatting>
  <conditionalFormatting sqref="C93:C104">
    <cfRule type="duplicateValues" dxfId="110" priority="107"/>
  </conditionalFormatting>
  <conditionalFormatting sqref="C94:C105">
    <cfRule type="duplicateValues" dxfId="109" priority="106"/>
  </conditionalFormatting>
  <conditionalFormatting sqref="C85:C96">
    <cfRule type="duplicateValues" dxfId="108" priority="105"/>
  </conditionalFormatting>
  <conditionalFormatting sqref="C87:C98">
    <cfRule type="duplicateValues" dxfId="107" priority="104"/>
  </conditionalFormatting>
  <conditionalFormatting sqref="C93:C104">
    <cfRule type="duplicateValues" dxfId="106" priority="103"/>
  </conditionalFormatting>
  <conditionalFormatting sqref="C94:C105">
    <cfRule type="duplicateValues" dxfId="105" priority="102"/>
  </conditionalFormatting>
  <conditionalFormatting sqref="C96:C107">
    <cfRule type="duplicateValues" dxfId="104" priority="101"/>
  </conditionalFormatting>
  <conditionalFormatting sqref="C92:C103">
    <cfRule type="duplicateValues" dxfId="103" priority="100"/>
  </conditionalFormatting>
  <conditionalFormatting sqref="C93:C104">
    <cfRule type="duplicateValues" dxfId="102" priority="99"/>
  </conditionalFormatting>
  <conditionalFormatting sqref="C95:C106">
    <cfRule type="duplicateValues" dxfId="101" priority="98"/>
  </conditionalFormatting>
  <conditionalFormatting sqref="C89:C100">
    <cfRule type="duplicateValues" dxfId="100" priority="97"/>
  </conditionalFormatting>
  <conditionalFormatting sqref="C90:C101">
    <cfRule type="duplicateValues" dxfId="99" priority="96"/>
  </conditionalFormatting>
  <conditionalFormatting sqref="C92:C103">
    <cfRule type="duplicateValues" dxfId="98" priority="95"/>
  </conditionalFormatting>
  <conditionalFormatting sqref="C93:C104">
    <cfRule type="duplicateValues" dxfId="97" priority="94"/>
  </conditionalFormatting>
  <conditionalFormatting sqref="C86:C97">
    <cfRule type="duplicateValues" dxfId="96" priority="93"/>
  </conditionalFormatting>
  <conditionalFormatting sqref="C92:C103">
    <cfRule type="duplicateValues" dxfId="95" priority="92"/>
  </conditionalFormatting>
  <conditionalFormatting sqref="C93:C104">
    <cfRule type="duplicateValues" dxfId="94" priority="91"/>
  </conditionalFormatting>
  <conditionalFormatting sqref="C95:C106">
    <cfRule type="duplicateValues" dxfId="93" priority="90"/>
  </conditionalFormatting>
  <conditionalFormatting sqref="C94:C105">
    <cfRule type="duplicateValues" dxfId="92" priority="89"/>
  </conditionalFormatting>
  <conditionalFormatting sqref="C95:C106">
    <cfRule type="duplicateValues" dxfId="91" priority="88"/>
  </conditionalFormatting>
  <conditionalFormatting sqref="C97:C108">
    <cfRule type="duplicateValues" dxfId="90" priority="87"/>
  </conditionalFormatting>
  <conditionalFormatting sqref="C91:C102">
    <cfRule type="duplicateValues" dxfId="89" priority="86"/>
  </conditionalFormatting>
  <conditionalFormatting sqref="C92:C103">
    <cfRule type="duplicateValues" dxfId="88" priority="85"/>
  </conditionalFormatting>
  <conditionalFormatting sqref="C94:C105">
    <cfRule type="duplicateValues" dxfId="87" priority="84"/>
  </conditionalFormatting>
  <conditionalFormatting sqref="C95:C106">
    <cfRule type="duplicateValues" dxfId="86" priority="83"/>
  </conditionalFormatting>
  <conditionalFormatting sqref="C85:C96">
    <cfRule type="duplicateValues" dxfId="85" priority="82"/>
  </conditionalFormatting>
  <conditionalFormatting sqref="C86:C97">
    <cfRule type="duplicateValues" dxfId="84" priority="81"/>
  </conditionalFormatting>
  <conditionalFormatting sqref="C88:C99">
    <cfRule type="duplicateValues" dxfId="83" priority="80"/>
  </conditionalFormatting>
  <conditionalFormatting sqref="C94:C105">
    <cfRule type="duplicateValues" dxfId="82" priority="79"/>
  </conditionalFormatting>
  <conditionalFormatting sqref="C95:C106">
    <cfRule type="duplicateValues" dxfId="81" priority="78"/>
  </conditionalFormatting>
  <conditionalFormatting sqref="C97:C108">
    <cfRule type="duplicateValues" dxfId="80" priority="77"/>
  </conditionalFormatting>
  <conditionalFormatting sqref="C92:C103">
    <cfRule type="duplicateValues" dxfId="79" priority="76"/>
  </conditionalFormatting>
  <conditionalFormatting sqref="C93:C104">
    <cfRule type="duplicateValues" dxfId="78" priority="75"/>
  </conditionalFormatting>
  <conditionalFormatting sqref="C95:C106">
    <cfRule type="duplicateValues" dxfId="77" priority="74"/>
  </conditionalFormatting>
  <conditionalFormatting sqref="C89:C100">
    <cfRule type="duplicateValues" dxfId="76" priority="73"/>
  </conditionalFormatting>
  <conditionalFormatting sqref="C90:C101">
    <cfRule type="duplicateValues" dxfId="75" priority="72"/>
  </conditionalFormatting>
  <conditionalFormatting sqref="C92:C103">
    <cfRule type="duplicateValues" dxfId="74" priority="71"/>
  </conditionalFormatting>
  <conditionalFormatting sqref="C93:C104">
    <cfRule type="duplicateValues" dxfId="73" priority="70"/>
  </conditionalFormatting>
  <conditionalFormatting sqref="C86:C97">
    <cfRule type="duplicateValues" dxfId="72" priority="69"/>
  </conditionalFormatting>
  <conditionalFormatting sqref="C92:C103">
    <cfRule type="duplicateValues" dxfId="71" priority="68"/>
  </conditionalFormatting>
  <conditionalFormatting sqref="C93:C104">
    <cfRule type="duplicateValues" dxfId="70" priority="67"/>
  </conditionalFormatting>
  <conditionalFormatting sqref="C95:C106">
    <cfRule type="duplicateValues" dxfId="69" priority="66"/>
  </conditionalFormatting>
  <conditionalFormatting sqref="C94:C105">
    <cfRule type="duplicateValues" dxfId="68" priority="65"/>
  </conditionalFormatting>
  <conditionalFormatting sqref="C95:C106">
    <cfRule type="duplicateValues" dxfId="67" priority="64"/>
  </conditionalFormatting>
  <conditionalFormatting sqref="C97:C108">
    <cfRule type="duplicateValues" dxfId="66" priority="63"/>
  </conditionalFormatting>
  <conditionalFormatting sqref="C91:C102">
    <cfRule type="duplicateValues" dxfId="65" priority="62"/>
  </conditionalFormatting>
  <conditionalFormatting sqref="C92:C103">
    <cfRule type="duplicateValues" dxfId="64" priority="61"/>
  </conditionalFormatting>
  <conditionalFormatting sqref="C94:C105">
    <cfRule type="duplicateValues" dxfId="63" priority="60"/>
  </conditionalFormatting>
  <conditionalFormatting sqref="C95:C106">
    <cfRule type="duplicateValues" dxfId="62" priority="59"/>
  </conditionalFormatting>
  <conditionalFormatting sqref="C85:C96">
    <cfRule type="duplicateValues" dxfId="61" priority="58"/>
  </conditionalFormatting>
  <conditionalFormatting sqref="C86:C97">
    <cfRule type="duplicateValues" dxfId="60" priority="57"/>
  </conditionalFormatting>
  <conditionalFormatting sqref="C88:C99">
    <cfRule type="duplicateValues" dxfId="59" priority="56"/>
  </conditionalFormatting>
  <conditionalFormatting sqref="C94:C105">
    <cfRule type="duplicateValues" dxfId="58" priority="55"/>
  </conditionalFormatting>
  <conditionalFormatting sqref="C95:C106">
    <cfRule type="duplicateValues" dxfId="57" priority="54"/>
  </conditionalFormatting>
  <conditionalFormatting sqref="C97:C108">
    <cfRule type="duplicateValues" dxfId="56" priority="53"/>
  </conditionalFormatting>
  <conditionalFormatting sqref="C93:C104">
    <cfRule type="duplicateValues" dxfId="55" priority="52"/>
  </conditionalFormatting>
  <conditionalFormatting sqref="C94:C105">
    <cfRule type="duplicateValues" dxfId="54" priority="51"/>
  </conditionalFormatting>
  <conditionalFormatting sqref="C96:C107">
    <cfRule type="duplicateValues" dxfId="53" priority="50"/>
  </conditionalFormatting>
  <conditionalFormatting sqref="C90:C101">
    <cfRule type="duplicateValues" dxfId="52" priority="49"/>
  </conditionalFormatting>
  <conditionalFormatting sqref="C91:C102">
    <cfRule type="duplicateValues" dxfId="51" priority="48"/>
  </conditionalFormatting>
  <conditionalFormatting sqref="C93:C104">
    <cfRule type="duplicateValues" dxfId="50" priority="47"/>
  </conditionalFormatting>
  <conditionalFormatting sqref="C94:C105">
    <cfRule type="duplicateValues" dxfId="49" priority="46"/>
  </conditionalFormatting>
  <conditionalFormatting sqref="C85:C96">
    <cfRule type="duplicateValues" dxfId="48" priority="45"/>
  </conditionalFormatting>
  <conditionalFormatting sqref="C87:C98">
    <cfRule type="duplicateValues" dxfId="47" priority="44"/>
  </conditionalFormatting>
  <conditionalFormatting sqref="C93:C104">
    <cfRule type="duplicateValues" dxfId="46" priority="43"/>
  </conditionalFormatting>
  <conditionalFormatting sqref="C94:C105">
    <cfRule type="duplicateValues" dxfId="45" priority="42"/>
  </conditionalFormatting>
  <conditionalFormatting sqref="C96:C107">
    <cfRule type="duplicateValues" dxfId="44" priority="41"/>
  </conditionalFormatting>
  <conditionalFormatting sqref="C95:C106">
    <cfRule type="duplicateValues" dxfId="43" priority="40"/>
  </conditionalFormatting>
  <conditionalFormatting sqref="C96:C107">
    <cfRule type="duplicateValues" dxfId="42" priority="39"/>
  </conditionalFormatting>
  <conditionalFormatting sqref="C98:C109">
    <cfRule type="duplicateValues" dxfId="41" priority="38"/>
  </conditionalFormatting>
  <conditionalFormatting sqref="C92:C103">
    <cfRule type="duplicateValues" dxfId="40" priority="37"/>
  </conditionalFormatting>
  <conditionalFormatting sqref="C93:C104">
    <cfRule type="duplicateValues" dxfId="39" priority="36"/>
  </conditionalFormatting>
  <conditionalFormatting sqref="C95:C106">
    <cfRule type="duplicateValues" dxfId="38" priority="35"/>
  </conditionalFormatting>
  <conditionalFormatting sqref="C96:C107">
    <cfRule type="duplicateValues" dxfId="37" priority="34"/>
  </conditionalFormatting>
  <conditionalFormatting sqref="C86:C97">
    <cfRule type="duplicateValues" dxfId="36" priority="33"/>
  </conditionalFormatting>
  <conditionalFormatting sqref="C87:C98">
    <cfRule type="duplicateValues" dxfId="35" priority="32"/>
  </conditionalFormatting>
  <conditionalFormatting sqref="C89:C100">
    <cfRule type="duplicateValues" dxfId="34" priority="31"/>
  </conditionalFormatting>
  <conditionalFormatting sqref="C95:C106">
    <cfRule type="duplicateValues" dxfId="33" priority="30"/>
  </conditionalFormatting>
  <conditionalFormatting sqref="C96:C107">
    <cfRule type="duplicateValues" dxfId="32" priority="29"/>
  </conditionalFormatting>
  <conditionalFormatting sqref="C98:C109">
    <cfRule type="duplicateValues" dxfId="31" priority="28"/>
  </conditionalFormatting>
  <conditionalFormatting sqref="E50">
    <cfRule type="duplicateValues" dxfId="30" priority="27"/>
  </conditionalFormatting>
  <conditionalFormatting sqref="E51">
    <cfRule type="duplicateValues" dxfId="29" priority="26"/>
  </conditionalFormatting>
  <conditionalFormatting sqref="E52">
    <cfRule type="duplicateValues" dxfId="28" priority="25"/>
  </conditionalFormatting>
  <conditionalFormatting sqref="E53">
    <cfRule type="duplicateValues" dxfId="27" priority="24"/>
  </conditionalFormatting>
  <conditionalFormatting sqref="E55">
    <cfRule type="duplicateValues" dxfId="26" priority="23"/>
  </conditionalFormatting>
  <conditionalFormatting sqref="E55">
    <cfRule type="duplicateValues" dxfId="25" priority="22"/>
  </conditionalFormatting>
  <conditionalFormatting sqref="E56">
    <cfRule type="duplicateValues" dxfId="24" priority="21"/>
  </conditionalFormatting>
  <conditionalFormatting sqref="E53">
    <cfRule type="duplicateValues" dxfId="23" priority="20"/>
  </conditionalFormatting>
  <conditionalFormatting sqref="E53">
    <cfRule type="duplicateValues" dxfId="22" priority="19"/>
  </conditionalFormatting>
  <conditionalFormatting sqref="E54">
    <cfRule type="duplicateValues" dxfId="21" priority="18"/>
  </conditionalFormatting>
  <conditionalFormatting sqref="E56">
    <cfRule type="duplicateValues" dxfId="20" priority="17"/>
  </conditionalFormatting>
  <conditionalFormatting sqref="E56">
    <cfRule type="duplicateValues" dxfId="19" priority="16"/>
  </conditionalFormatting>
  <conditionalFormatting sqref="E57">
    <cfRule type="duplicateValues" dxfId="18" priority="15"/>
  </conditionalFormatting>
  <conditionalFormatting sqref="E54">
    <cfRule type="duplicateValues" dxfId="17" priority="14"/>
  </conditionalFormatting>
  <conditionalFormatting sqref="E54">
    <cfRule type="duplicateValues" dxfId="16" priority="13"/>
  </conditionalFormatting>
  <conditionalFormatting sqref="E53">
    <cfRule type="duplicateValues" dxfId="15" priority="12"/>
  </conditionalFormatting>
  <conditionalFormatting sqref="E53">
    <cfRule type="duplicateValues" dxfId="14" priority="11"/>
  </conditionalFormatting>
  <conditionalFormatting sqref="E53">
    <cfRule type="duplicateValues" dxfId="13" priority="10"/>
  </conditionalFormatting>
  <conditionalFormatting sqref="E56">
    <cfRule type="duplicateValues" dxfId="12" priority="9"/>
  </conditionalFormatting>
  <conditionalFormatting sqref="E58:E59">
    <cfRule type="duplicateValues" dxfId="11" priority="8"/>
  </conditionalFormatting>
  <conditionalFormatting sqref="E57">
    <cfRule type="duplicateValues" dxfId="10" priority="7"/>
  </conditionalFormatting>
  <conditionalFormatting sqref="E57">
    <cfRule type="duplicateValues" dxfId="9" priority="6"/>
  </conditionalFormatting>
  <conditionalFormatting sqref="E22">
    <cfRule type="duplicateValues" dxfId="8" priority="5"/>
  </conditionalFormatting>
  <conditionalFormatting sqref="E28">
    <cfRule type="duplicateValues" dxfId="7" priority="4"/>
  </conditionalFormatting>
  <conditionalFormatting sqref="G3:G42">
    <cfRule type="duplicateValues" dxfId="6" priority="3"/>
  </conditionalFormatting>
  <conditionalFormatting sqref="G22">
    <cfRule type="duplicateValues" dxfId="5" priority="2"/>
  </conditionalFormatting>
  <conditionalFormatting sqref="G28">
    <cfRule type="duplicateValues" dxfId="4" priority="1"/>
  </conditionalFormatting>
  <pageMargins left="0.7" right="0.7" top="0.78740157499999996" bottom="0.78740157499999996" header="0.3" footer="0.3"/>
  <pageSetup paperSize="9" orientation="portrait" r:id="rId1"/>
  <headerFooter>
    <oddFooter>&amp;LIntern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D4C58C-D55B-4708-8274-FCC2D32DA318}">
  <sheetPr codeName="Tabelle9"/>
  <dimension ref="A2:I88"/>
  <sheetViews>
    <sheetView workbookViewId="0">
      <selection activeCell="A10" sqref="A10"/>
    </sheetView>
  </sheetViews>
  <sheetFormatPr baseColWidth="10" defaultColWidth="11" defaultRowHeight="14.25" x14ac:dyDescent="0.2"/>
  <cols>
    <col min="1" max="1" width="52.75" bestFit="1" customWidth="1"/>
    <col min="2" max="2" width="52" bestFit="1" customWidth="1"/>
  </cols>
  <sheetData>
    <row r="2" spans="1:9" x14ac:dyDescent="0.2">
      <c r="I2" s="2" t="s">
        <v>18</v>
      </c>
    </row>
    <row r="3" spans="1:9" x14ac:dyDescent="0.2">
      <c r="I3" s="2" t="s">
        <v>17</v>
      </c>
    </row>
    <row r="4" spans="1:9" x14ac:dyDescent="0.2">
      <c r="A4" s="110" t="s">
        <v>1276</v>
      </c>
      <c r="B4" s="110" t="s">
        <v>1277</v>
      </c>
      <c r="C4" s="110" t="s">
        <v>1278</v>
      </c>
      <c r="D4" s="110" t="s">
        <v>1279</v>
      </c>
      <c r="I4" s="2" t="s">
        <v>1278</v>
      </c>
    </row>
    <row r="5" spans="1:9" x14ac:dyDescent="0.2">
      <c r="A5" s="326" t="s">
        <v>1348</v>
      </c>
      <c r="B5" s="326" t="s">
        <v>1349</v>
      </c>
      <c r="C5" s="110"/>
      <c r="D5" s="110"/>
      <c r="E5" s="2"/>
      <c r="F5" s="2"/>
      <c r="G5" s="2"/>
      <c r="I5" s="2" t="s">
        <v>1279</v>
      </c>
    </row>
    <row r="6" spans="1:9" x14ac:dyDescent="0.2">
      <c r="A6" s="326" t="s">
        <v>1280</v>
      </c>
      <c r="B6" s="326" t="s">
        <v>1281</v>
      </c>
      <c r="C6" s="325"/>
      <c r="D6" s="325"/>
      <c r="E6" s="78"/>
      <c r="F6" s="78"/>
      <c r="G6" s="78"/>
    </row>
    <row r="7" spans="1:9" x14ac:dyDescent="0.2">
      <c r="A7" s="326" t="s">
        <v>1185</v>
      </c>
      <c r="B7" s="326" t="s">
        <v>743</v>
      </c>
      <c r="C7" s="326"/>
      <c r="D7" s="326"/>
      <c r="E7" s="78"/>
      <c r="F7" s="78"/>
      <c r="G7" s="78"/>
    </row>
    <row r="8" spans="1:9" x14ac:dyDescent="0.2">
      <c r="A8" s="326" t="s">
        <v>1191</v>
      </c>
      <c r="B8" s="326" t="s">
        <v>1282</v>
      </c>
      <c r="C8" s="326"/>
      <c r="D8" s="326"/>
      <c r="E8" s="78"/>
      <c r="F8" s="78"/>
      <c r="G8" s="78"/>
    </row>
    <row r="9" spans="1:9" x14ac:dyDescent="0.2">
      <c r="A9" s="326" t="s">
        <v>1194</v>
      </c>
      <c r="B9" s="326" t="s">
        <v>278</v>
      </c>
      <c r="C9" s="326"/>
      <c r="D9" s="326"/>
      <c r="E9" s="78"/>
      <c r="F9" s="78"/>
      <c r="G9" s="78"/>
    </row>
    <row r="10" spans="1:9" x14ac:dyDescent="0.2">
      <c r="A10" s="326" t="s">
        <v>1197</v>
      </c>
      <c r="B10" s="326" t="s">
        <v>1283</v>
      </c>
      <c r="C10" s="326"/>
      <c r="D10" s="326"/>
      <c r="E10" s="78"/>
      <c r="F10" s="78"/>
      <c r="G10" s="78"/>
    </row>
    <row r="11" spans="1:9" x14ac:dyDescent="0.2">
      <c r="A11" s="326" t="s">
        <v>1200</v>
      </c>
      <c r="B11" s="326" t="s">
        <v>1284</v>
      </c>
      <c r="C11" s="326"/>
      <c r="D11" s="326"/>
      <c r="E11" s="78"/>
      <c r="F11" s="78"/>
      <c r="G11" s="78"/>
    </row>
    <row r="12" spans="1:9" x14ac:dyDescent="0.2">
      <c r="A12" s="326" t="s">
        <v>1202</v>
      </c>
      <c r="B12" s="326" t="s">
        <v>512</v>
      </c>
      <c r="C12" s="326"/>
      <c r="D12" s="326"/>
      <c r="E12" s="78"/>
      <c r="F12" s="78"/>
      <c r="G12" s="78"/>
    </row>
    <row r="13" spans="1:9" x14ac:dyDescent="0.2">
      <c r="A13" s="326" t="s">
        <v>1203</v>
      </c>
      <c r="B13" s="326" t="s">
        <v>1203</v>
      </c>
      <c r="C13" s="326"/>
      <c r="D13" s="326"/>
      <c r="E13" s="78"/>
      <c r="F13" s="78"/>
      <c r="G13" s="78"/>
    </row>
    <row r="14" spans="1:9" x14ac:dyDescent="0.2">
      <c r="A14" s="326" t="s">
        <v>1206</v>
      </c>
      <c r="B14" s="326" t="s">
        <v>1285</v>
      </c>
      <c r="C14" s="326"/>
      <c r="D14" s="326"/>
      <c r="E14" s="78"/>
      <c r="F14" s="78"/>
      <c r="G14" s="78"/>
    </row>
    <row r="15" spans="1:9" x14ac:dyDescent="0.2">
      <c r="A15" s="326" t="s">
        <v>1210</v>
      </c>
      <c r="B15" s="326" t="s">
        <v>1286</v>
      </c>
      <c r="C15" s="326"/>
      <c r="D15" s="326"/>
      <c r="E15" s="78"/>
      <c r="F15" s="78"/>
      <c r="G15" s="78"/>
    </row>
    <row r="16" spans="1:9" x14ac:dyDescent="0.2">
      <c r="A16" s="326" t="s">
        <v>1212</v>
      </c>
      <c r="B16" s="326" t="s">
        <v>1287</v>
      </c>
      <c r="C16" s="326"/>
      <c r="D16" s="326"/>
      <c r="E16" s="78"/>
      <c r="F16" s="78"/>
      <c r="G16" s="78"/>
    </row>
    <row r="17" spans="1:7" x14ac:dyDescent="0.2">
      <c r="A17" s="326" t="s">
        <v>1215</v>
      </c>
      <c r="B17" s="326" t="s">
        <v>1288</v>
      </c>
      <c r="C17" s="326"/>
      <c r="D17" s="326"/>
      <c r="E17" s="78"/>
      <c r="F17" s="78"/>
      <c r="G17" s="78"/>
    </row>
    <row r="18" spans="1:7" x14ac:dyDescent="0.2">
      <c r="A18" s="326" t="s">
        <v>1222</v>
      </c>
      <c r="B18" s="326" t="s">
        <v>1289</v>
      </c>
      <c r="C18" s="326"/>
      <c r="D18" s="326"/>
      <c r="E18" s="78"/>
      <c r="F18" s="78"/>
      <c r="G18" s="78"/>
    </row>
    <row r="19" spans="1:7" x14ac:dyDescent="0.2">
      <c r="A19" s="326" t="s">
        <v>1226</v>
      </c>
      <c r="B19" s="326" t="s">
        <v>1290</v>
      </c>
      <c r="C19" s="326"/>
      <c r="D19" s="326"/>
      <c r="E19" s="78"/>
      <c r="F19" s="78"/>
      <c r="G19" s="78"/>
    </row>
    <row r="20" spans="1:7" x14ac:dyDescent="0.2">
      <c r="A20" s="326" t="s">
        <v>1229</v>
      </c>
      <c r="B20" s="326" t="s">
        <v>1291</v>
      </c>
      <c r="C20" s="326"/>
      <c r="D20" s="326"/>
      <c r="E20" s="78"/>
      <c r="F20" s="78"/>
      <c r="G20" s="78"/>
    </row>
    <row r="21" spans="1:7" x14ac:dyDescent="0.2">
      <c r="A21" s="326" t="s">
        <v>1233</v>
      </c>
      <c r="B21" s="326" t="s">
        <v>1292</v>
      </c>
      <c r="C21" s="326"/>
      <c r="D21" s="326"/>
      <c r="E21" s="78"/>
      <c r="F21" s="78"/>
      <c r="G21" s="78"/>
    </row>
    <row r="22" spans="1:7" x14ac:dyDescent="0.2">
      <c r="A22" s="326" t="s">
        <v>1235</v>
      </c>
      <c r="B22" s="326" t="s">
        <v>1293</v>
      </c>
      <c r="C22" s="326"/>
      <c r="D22" s="326"/>
      <c r="E22" s="78"/>
      <c r="F22" s="78"/>
      <c r="G22" s="78"/>
    </row>
    <row r="23" spans="1:7" x14ac:dyDescent="0.2">
      <c r="A23" s="326" t="s">
        <v>1237</v>
      </c>
      <c r="B23" s="326" t="s">
        <v>1294</v>
      </c>
      <c r="C23" s="326"/>
      <c r="D23" s="326"/>
      <c r="E23" s="78"/>
      <c r="F23" s="78"/>
      <c r="G23" s="78"/>
    </row>
    <row r="24" spans="1:7" x14ac:dyDescent="0.2">
      <c r="A24" s="326" t="s">
        <v>1239</v>
      </c>
      <c r="B24" s="326" t="s">
        <v>1295</v>
      </c>
      <c r="C24" s="326"/>
      <c r="D24" s="326"/>
      <c r="E24" s="78"/>
      <c r="F24" s="78"/>
      <c r="G24" s="78"/>
    </row>
    <row r="25" spans="1:7" x14ac:dyDescent="0.2">
      <c r="A25" s="326" t="s">
        <v>1241</v>
      </c>
      <c r="B25" s="326" t="s">
        <v>1296</v>
      </c>
      <c r="C25" s="326"/>
      <c r="D25" s="326"/>
      <c r="E25" s="78"/>
      <c r="F25" s="78"/>
      <c r="G25" s="78"/>
    </row>
    <row r="26" spans="1:7" x14ac:dyDescent="0.2">
      <c r="A26" s="326" t="s">
        <v>1268</v>
      </c>
      <c r="B26" s="326" t="s">
        <v>1297</v>
      </c>
      <c r="C26" s="326"/>
      <c r="D26" s="326"/>
      <c r="E26" s="78"/>
      <c r="F26" s="78"/>
      <c r="G26" s="78"/>
    </row>
    <row r="27" spans="1:7" x14ac:dyDescent="0.2">
      <c r="A27" s="326" t="s">
        <v>1247</v>
      </c>
      <c r="B27" s="326" t="s">
        <v>1298</v>
      </c>
      <c r="C27" s="326"/>
      <c r="D27" s="326"/>
      <c r="E27" s="78"/>
      <c r="F27" s="78"/>
      <c r="G27" s="78"/>
    </row>
    <row r="28" spans="1:7" x14ac:dyDescent="0.2">
      <c r="A28" s="326" t="s">
        <v>1250</v>
      </c>
      <c r="B28" s="326" t="s">
        <v>1299</v>
      </c>
      <c r="C28" s="326"/>
      <c r="D28" s="326"/>
      <c r="E28" s="78"/>
      <c r="F28" s="78"/>
      <c r="G28" s="78"/>
    </row>
    <row r="29" spans="1:7" x14ac:dyDescent="0.2">
      <c r="A29" s="326" t="s">
        <v>1253</v>
      </c>
      <c r="B29" s="326" t="s">
        <v>1300</v>
      </c>
      <c r="C29" s="326"/>
      <c r="D29" s="326"/>
      <c r="E29" s="78"/>
      <c r="F29" s="78"/>
      <c r="G29" s="78"/>
    </row>
    <row r="30" spans="1:7" x14ac:dyDescent="0.2">
      <c r="A30" s="326" t="s">
        <v>1254</v>
      </c>
      <c r="B30" s="326" t="s">
        <v>1301</v>
      </c>
      <c r="C30" s="326"/>
      <c r="D30" s="326"/>
      <c r="E30" s="78"/>
      <c r="F30" s="78"/>
      <c r="G30" s="78"/>
    </row>
    <row r="31" spans="1:7" x14ac:dyDescent="0.2">
      <c r="A31" s="326" t="s">
        <v>1256</v>
      </c>
      <c r="B31" s="326" t="s">
        <v>1302</v>
      </c>
      <c r="C31" s="326"/>
      <c r="D31" s="326"/>
      <c r="E31" s="78"/>
      <c r="F31" s="78"/>
      <c r="G31" s="78"/>
    </row>
    <row r="32" spans="1:7" x14ac:dyDescent="0.2">
      <c r="A32" s="317" t="s">
        <v>1303</v>
      </c>
      <c r="B32" s="326" t="s">
        <v>1304</v>
      </c>
      <c r="C32" s="326"/>
      <c r="D32" s="326"/>
      <c r="E32" s="78"/>
      <c r="F32" s="78"/>
      <c r="G32" s="78"/>
    </row>
    <row r="33" spans="1:7" x14ac:dyDescent="0.2">
      <c r="A33" s="326" t="s">
        <v>1261</v>
      </c>
      <c r="B33" s="326" t="s">
        <v>1305</v>
      </c>
      <c r="C33" s="326"/>
      <c r="D33" s="326"/>
      <c r="E33" s="78"/>
      <c r="F33" s="78"/>
      <c r="G33" s="78"/>
    </row>
    <row r="34" spans="1:7" x14ac:dyDescent="0.2">
      <c r="A34" s="326" t="s">
        <v>1271</v>
      </c>
      <c r="B34" s="326" t="s">
        <v>1306</v>
      </c>
      <c r="C34" s="326"/>
      <c r="D34" s="326"/>
      <c r="E34" s="78"/>
      <c r="F34" s="78"/>
      <c r="G34" s="78"/>
    </row>
    <row r="35" spans="1:7" x14ac:dyDescent="0.2">
      <c r="A35" s="326" t="s">
        <v>1188</v>
      </c>
      <c r="B35" s="326" t="s">
        <v>1307</v>
      </c>
      <c r="C35" s="326"/>
      <c r="D35" s="326"/>
      <c r="E35" s="78"/>
      <c r="F35" s="78"/>
      <c r="G35" s="78"/>
    </row>
    <row r="36" spans="1:7" x14ac:dyDescent="0.2">
      <c r="A36" s="326" t="s">
        <v>1317</v>
      </c>
      <c r="B36" s="326" t="s">
        <v>1315</v>
      </c>
      <c r="C36" s="326"/>
      <c r="D36" s="326"/>
      <c r="E36" s="78"/>
      <c r="F36" s="78"/>
      <c r="G36" s="78"/>
    </row>
    <row r="37" spans="1:7" x14ac:dyDescent="0.2">
      <c r="A37" s="326" t="s">
        <v>1195</v>
      </c>
      <c r="B37" s="326" t="s">
        <v>1308</v>
      </c>
      <c r="C37" s="326"/>
      <c r="D37" s="326"/>
      <c r="E37" s="78"/>
      <c r="F37" s="78"/>
      <c r="G37" s="78"/>
    </row>
    <row r="38" spans="1:7" x14ac:dyDescent="0.2">
      <c r="A38" s="326" t="s">
        <v>1196</v>
      </c>
      <c r="B38" s="326" t="s">
        <v>1309</v>
      </c>
      <c r="C38" s="326"/>
      <c r="D38" s="326"/>
      <c r="E38" s="78"/>
      <c r="F38" s="78"/>
      <c r="G38" s="78"/>
    </row>
    <row r="39" spans="1:7" x14ac:dyDescent="0.2">
      <c r="A39" s="326" t="s">
        <v>1198</v>
      </c>
      <c r="B39" s="326" t="s">
        <v>1310</v>
      </c>
      <c r="C39" s="326"/>
      <c r="D39" s="326"/>
    </row>
    <row r="40" spans="1:7" x14ac:dyDescent="0.2">
      <c r="A40" s="326" t="s">
        <v>1262</v>
      </c>
      <c r="B40" s="326" t="s">
        <v>1311</v>
      </c>
      <c r="C40" s="24"/>
      <c r="D40" s="24"/>
    </row>
    <row r="41" spans="1:7" x14ac:dyDescent="0.2">
      <c r="A41" s="326" t="s">
        <v>1274</v>
      </c>
      <c r="B41" s="326" t="s">
        <v>1312</v>
      </c>
      <c r="C41" s="24"/>
      <c r="D41" s="24"/>
    </row>
    <row r="42" spans="1:7" x14ac:dyDescent="0.2">
      <c r="A42" s="326" t="s">
        <v>1204</v>
      </c>
      <c r="B42" s="326" t="s">
        <v>1313</v>
      </c>
      <c r="C42" s="24"/>
      <c r="D42" s="24"/>
      <c r="E42" s="78"/>
      <c r="F42" s="78"/>
      <c r="G42" s="78"/>
    </row>
    <row r="43" spans="1:7" x14ac:dyDescent="0.2">
      <c r="A43" s="326" t="s">
        <v>1316</v>
      </c>
      <c r="B43" s="326" t="s">
        <v>1314</v>
      </c>
      <c r="C43" s="326"/>
      <c r="D43" s="326"/>
    </row>
    <row r="44" spans="1:7" x14ac:dyDescent="0.2">
      <c r="A44" s="326" t="s">
        <v>1216</v>
      </c>
      <c r="B44" s="326" t="s">
        <v>1318</v>
      </c>
      <c r="C44" s="24"/>
      <c r="D44" s="24"/>
    </row>
    <row r="45" spans="1:7" x14ac:dyDescent="0.2">
      <c r="A45" s="326" t="s">
        <v>1218</v>
      </c>
      <c r="B45" s="326" t="s">
        <v>1319</v>
      </c>
      <c r="C45" s="24"/>
      <c r="D45" s="24"/>
    </row>
    <row r="46" spans="1:7" x14ac:dyDescent="0.2">
      <c r="A46" s="326" t="s">
        <v>1224</v>
      </c>
      <c r="B46" s="326" t="s">
        <v>1320</v>
      </c>
      <c r="C46" s="24"/>
      <c r="D46" s="24"/>
    </row>
    <row r="47" spans="1:7" x14ac:dyDescent="0.2">
      <c r="A47" s="326" t="s">
        <v>1228</v>
      </c>
      <c r="B47" s="326" t="s">
        <v>1321</v>
      </c>
      <c r="C47" s="24"/>
      <c r="D47" s="24"/>
    </row>
    <row r="48" spans="1:7" x14ac:dyDescent="0.2">
      <c r="A48" s="326" t="s">
        <v>1231</v>
      </c>
      <c r="B48" s="326" t="s">
        <v>1322</v>
      </c>
      <c r="C48" s="24"/>
      <c r="D48" s="24"/>
    </row>
    <row r="49" spans="1:4" x14ac:dyDescent="0.2">
      <c r="A49" s="326" t="s">
        <v>1273</v>
      </c>
      <c r="B49" s="326" t="s">
        <v>378</v>
      </c>
      <c r="C49" s="24"/>
      <c r="D49" s="24"/>
    </row>
    <row r="50" spans="1:4" x14ac:dyDescent="0.2">
      <c r="A50" s="326" t="s">
        <v>1234</v>
      </c>
      <c r="B50" s="326" t="s">
        <v>1323</v>
      </c>
      <c r="C50" s="24"/>
      <c r="D50" s="24"/>
    </row>
    <row r="51" spans="1:4" x14ac:dyDescent="0.2">
      <c r="A51" s="326" t="s">
        <v>1236</v>
      </c>
      <c r="B51" s="326" t="s">
        <v>1324</v>
      </c>
      <c r="C51" s="24"/>
      <c r="D51" s="24"/>
    </row>
    <row r="52" spans="1:4" x14ac:dyDescent="0.2">
      <c r="A52" s="326" t="s">
        <v>1238</v>
      </c>
      <c r="B52" s="326" t="s">
        <v>1325</v>
      </c>
      <c r="C52" s="24"/>
      <c r="D52" s="24"/>
    </row>
    <row r="53" spans="1:4" x14ac:dyDescent="0.2">
      <c r="A53" s="326" t="s">
        <v>1240</v>
      </c>
      <c r="B53" s="326" t="s">
        <v>1326</v>
      </c>
      <c r="C53" s="24"/>
      <c r="D53" s="24"/>
    </row>
    <row r="54" spans="1:4" x14ac:dyDescent="0.2">
      <c r="A54" s="326" t="s">
        <v>1242</v>
      </c>
      <c r="B54" s="326" t="s">
        <v>1327</v>
      </c>
      <c r="C54" s="24"/>
      <c r="D54" s="24"/>
    </row>
    <row r="55" spans="1:4" x14ac:dyDescent="0.2">
      <c r="A55" s="326" t="s">
        <v>1244</v>
      </c>
      <c r="B55" s="326" t="s">
        <v>288</v>
      </c>
      <c r="C55" s="24"/>
      <c r="D55" s="24"/>
    </row>
    <row r="56" spans="1:4" x14ac:dyDescent="0.2">
      <c r="A56" s="326" t="s">
        <v>1245</v>
      </c>
      <c r="B56" s="326" t="s">
        <v>384</v>
      </c>
      <c r="C56" s="24"/>
      <c r="D56" s="24"/>
    </row>
    <row r="57" spans="1:4" x14ac:dyDescent="0.2">
      <c r="A57" s="326" t="s">
        <v>1248</v>
      </c>
      <c r="B57" s="326" t="s">
        <v>1328</v>
      </c>
      <c r="C57" s="24"/>
      <c r="D57" s="24"/>
    </row>
    <row r="58" spans="1:4" x14ac:dyDescent="0.2">
      <c r="A58" s="326" t="s">
        <v>1249</v>
      </c>
      <c r="B58" s="326" t="s">
        <v>1329</v>
      </c>
      <c r="C58" s="24"/>
      <c r="D58" s="24"/>
    </row>
    <row r="59" spans="1:4" x14ac:dyDescent="0.2">
      <c r="A59" s="326" t="s">
        <v>1251</v>
      </c>
      <c r="B59" s="326" t="s">
        <v>400</v>
      </c>
      <c r="C59" s="24"/>
      <c r="D59" s="24"/>
    </row>
    <row r="60" spans="1:4" x14ac:dyDescent="0.2">
      <c r="A60" s="326" t="s">
        <v>1252</v>
      </c>
      <c r="B60" s="326" t="s">
        <v>399</v>
      </c>
      <c r="C60" s="24"/>
      <c r="D60" s="24"/>
    </row>
    <row r="61" spans="1:4" x14ac:dyDescent="0.2">
      <c r="A61" s="326" t="s">
        <v>1255</v>
      </c>
      <c r="B61" s="326" t="s">
        <v>401</v>
      </c>
      <c r="C61" s="24"/>
      <c r="D61" s="24"/>
    </row>
    <row r="62" spans="1:4" x14ac:dyDescent="0.2">
      <c r="A62" s="326" t="s">
        <v>1257</v>
      </c>
      <c r="B62" s="326" t="s">
        <v>402</v>
      </c>
      <c r="C62" s="24"/>
      <c r="D62" s="24"/>
    </row>
    <row r="63" spans="1:4" x14ac:dyDescent="0.2">
      <c r="A63" s="326" t="s">
        <v>1258</v>
      </c>
      <c r="B63" s="326" t="s">
        <v>403</v>
      </c>
      <c r="C63" s="24"/>
      <c r="D63" s="24"/>
    </row>
    <row r="64" spans="1:4" x14ac:dyDescent="0.2">
      <c r="A64" s="326" t="s">
        <v>1260</v>
      </c>
      <c r="B64" s="326" t="s">
        <v>530</v>
      </c>
      <c r="C64" s="24"/>
      <c r="D64" s="24"/>
    </row>
    <row r="65" spans="1:7" x14ac:dyDescent="0.2">
      <c r="A65" s="326" t="s">
        <v>1184</v>
      </c>
      <c r="B65" s="326" t="s">
        <v>1330</v>
      </c>
      <c r="C65" s="24"/>
      <c r="D65" s="24"/>
    </row>
    <row r="66" spans="1:7" x14ac:dyDescent="0.2">
      <c r="A66" s="326" t="s">
        <v>1187</v>
      </c>
      <c r="B66" s="326" t="s">
        <v>1187</v>
      </c>
      <c r="C66" s="24"/>
      <c r="D66" s="24"/>
    </row>
    <row r="67" spans="1:7" x14ac:dyDescent="0.2">
      <c r="A67" s="326" t="s">
        <v>1186</v>
      </c>
      <c r="B67" s="326" t="s">
        <v>1282</v>
      </c>
      <c r="C67" s="24"/>
      <c r="D67" s="24"/>
    </row>
    <row r="68" spans="1:7" ht="15" x14ac:dyDescent="0.25">
      <c r="A68" s="326" t="s">
        <v>1189</v>
      </c>
      <c r="B68" s="326" t="s">
        <v>1331</v>
      </c>
      <c r="C68" s="24"/>
      <c r="D68" s="24"/>
    </row>
    <row r="69" spans="1:7" x14ac:dyDescent="0.2">
      <c r="A69" s="326" t="s">
        <v>1192</v>
      </c>
      <c r="B69" s="326" t="s">
        <v>1332</v>
      </c>
      <c r="C69" s="24"/>
      <c r="D69" s="24"/>
    </row>
    <row r="70" spans="1:7" x14ac:dyDescent="0.2">
      <c r="A70" s="326" t="s">
        <v>1270</v>
      </c>
      <c r="B70" s="326" t="s">
        <v>1333</v>
      </c>
      <c r="C70" s="24"/>
      <c r="D70" s="24"/>
    </row>
    <row r="71" spans="1:7" x14ac:dyDescent="0.2">
      <c r="A71" s="326" t="s">
        <v>1199</v>
      </c>
      <c r="B71" s="326" t="s">
        <v>308</v>
      </c>
      <c r="C71" s="24"/>
      <c r="D71" s="24"/>
    </row>
    <row r="72" spans="1:7" x14ac:dyDescent="0.2">
      <c r="A72" s="326" t="s">
        <v>1201</v>
      </c>
      <c r="B72" s="326" t="s">
        <v>1334</v>
      </c>
      <c r="C72" s="24"/>
      <c r="D72" s="24"/>
    </row>
    <row r="73" spans="1:7" x14ac:dyDescent="0.2">
      <c r="A73" s="326" t="s">
        <v>1263</v>
      </c>
      <c r="B73" s="326" t="s">
        <v>1335</v>
      </c>
      <c r="C73" s="24"/>
      <c r="D73" s="24"/>
    </row>
    <row r="74" spans="1:7" x14ac:dyDescent="0.2">
      <c r="A74" s="326" t="s">
        <v>1264</v>
      </c>
      <c r="B74" s="326" t="s">
        <v>1336</v>
      </c>
      <c r="C74" s="24"/>
      <c r="D74" s="24"/>
    </row>
    <row r="75" spans="1:7" x14ac:dyDescent="0.2">
      <c r="A75" s="326" t="s">
        <v>1265</v>
      </c>
      <c r="B75" s="326" t="s">
        <v>22</v>
      </c>
      <c r="C75" s="24"/>
      <c r="D75" s="24"/>
    </row>
    <row r="76" spans="1:7" x14ac:dyDescent="0.2">
      <c r="A76" s="326" t="s">
        <v>1272</v>
      </c>
      <c r="B76" s="326" t="s">
        <v>1337</v>
      </c>
      <c r="C76" s="24"/>
      <c r="D76" s="24"/>
    </row>
    <row r="77" spans="1:7" x14ac:dyDescent="0.2">
      <c r="A77" s="326" t="s">
        <v>1266</v>
      </c>
      <c r="B77" s="326" t="s">
        <v>1338</v>
      </c>
      <c r="C77" s="24"/>
      <c r="D77" s="24"/>
    </row>
    <row r="78" spans="1:7" x14ac:dyDescent="0.2">
      <c r="A78" s="326" t="s">
        <v>1267</v>
      </c>
      <c r="B78" s="326" t="s">
        <v>1339</v>
      </c>
      <c r="C78" s="24"/>
      <c r="D78" s="24"/>
    </row>
    <row r="79" spans="1:7" x14ac:dyDescent="0.2">
      <c r="A79" s="326" t="s">
        <v>1209</v>
      </c>
      <c r="B79" s="326" t="s">
        <v>1340</v>
      </c>
      <c r="C79" s="24"/>
      <c r="D79" s="24"/>
      <c r="E79" s="316"/>
      <c r="F79" s="316"/>
      <c r="G79" s="316"/>
    </row>
    <row r="80" spans="1:7" x14ac:dyDescent="0.2">
      <c r="A80" s="326" t="s">
        <v>1214</v>
      </c>
      <c r="B80" s="326" t="s">
        <v>1341</v>
      </c>
      <c r="C80" s="314"/>
      <c r="D80" s="314"/>
      <c r="E80" s="316"/>
      <c r="F80" s="316"/>
      <c r="G80" s="316"/>
    </row>
    <row r="81" spans="1:7" x14ac:dyDescent="0.2">
      <c r="A81" s="326" t="s">
        <v>1217</v>
      </c>
      <c r="B81" s="326" t="s">
        <v>1217</v>
      </c>
      <c r="C81" s="314"/>
      <c r="D81" s="314"/>
      <c r="E81" s="316"/>
      <c r="F81" s="316"/>
      <c r="G81" s="316"/>
    </row>
    <row r="82" spans="1:7" x14ac:dyDescent="0.2">
      <c r="A82" s="326" t="s">
        <v>1219</v>
      </c>
      <c r="B82" s="326" t="s">
        <v>1342</v>
      </c>
      <c r="C82" s="314"/>
      <c r="D82" s="314"/>
      <c r="E82" s="316"/>
      <c r="F82" s="316"/>
      <c r="G82" s="316"/>
    </row>
    <row r="83" spans="1:7" x14ac:dyDescent="0.2">
      <c r="A83" s="326" t="s">
        <v>1221</v>
      </c>
      <c r="B83" s="326" t="s">
        <v>1343</v>
      </c>
      <c r="C83" s="314"/>
      <c r="D83" s="314"/>
      <c r="E83" s="316"/>
      <c r="F83" s="316"/>
      <c r="G83" s="316"/>
    </row>
    <row r="84" spans="1:7" x14ac:dyDescent="0.2">
      <c r="A84" s="326" t="s">
        <v>1223</v>
      </c>
      <c r="B84" s="326" t="s">
        <v>703</v>
      </c>
      <c r="C84" s="314"/>
      <c r="D84" s="314"/>
      <c r="E84" s="316"/>
      <c r="F84" s="316"/>
      <c r="G84" s="316"/>
    </row>
    <row r="85" spans="1:7" x14ac:dyDescent="0.2">
      <c r="A85" s="326" t="s">
        <v>1225</v>
      </c>
      <c r="B85" s="326" t="s">
        <v>1344</v>
      </c>
      <c r="C85" s="314"/>
      <c r="D85" s="314"/>
      <c r="E85" s="316"/>
      <c r="F85" s="316"/>
      <c r="G85" s="316"/>
    </row>
    <row r="86" spans="1:7" x14ac:dyDescent="0.2">
      <c r="A86" s="326" t="s">
        <v>1232</v>
      </c>
      <c r="B86" s="326" t="s">
        <v>1345</v>
      </c>
      <c r="C86" s="314"/>
      <c r="D86" s="314"/>
      <c r="E86" s="316"/>
      <c r="F86" s="316"/>
      <c r="G86" s="316"/>
    </row>
    <row r="87" spans="1:7" x14ac:dyDescent="0.2">
      <c r="A87" s="326" t="s">
        <v>1243</v>
      </c>
      <c r="B87" s="326" t="s">
        <v>1346</v>
      </c>
      <c r="C87" s="314"/>
      <c r="D87" s="314"/>
      <c r="E87" s="316"/>
      <c r="F87" s="316"/>
      <c r="G87" s="316"/>
    </row>
    <row r="88" spans="1:7" x14ac:dyDescent="0.2">
      <c r="A88" s="326" t="s">
        <v>1246</v>
      </c>
      <c r="B88" s="326" t="s">
        <v>1347</v>
      </c>
      <c r="C88" s="314"/>
      <c r="D88" s="314"/>
    </row>
  </sheetData>
  <conditionalFormatting sqref="E34:G34 C35:D35">
    <cfRule type="expression" dxfId="3" priority="13">
      <formula>$Q$15="n.a"</formula>
    </cfRule>
    <cfRule type="expression" dxfId="2" priority="14">
      <formula>$Q$15="n.a"</formula>
    </cfRule>
    <cfRule type="expression" dxfId="1" priority="15">
      <formula>$Q$15&lt;1</formula>
    </cfRule>
  </conditionalFormatting>
  <conditionalFormatting sqref="E34:G34 C35:D35">
    <cfRule type="expression" dxfId="0" priority="12">
      <formula>$Q$15="n.a."</formula>
    </cfRule>
  </conditionalFormatting>
  <pageMargins left="0.7" right="0.7" top="0.78740157499999996" bottom="0.78740157499999996" header="0.3" footer="0.3"/>
  <pageSetup paperSize="9" orientation="portrait" horizontalDpi="300" verticalDpi="0" r:id="rId1"/>
  <headerFooter>
    <oddFooter xml:space="preserve">&amp;LIntern </oddFooter>
    <evenFooter xml:space="preserve">&amp;LIntern </evenFooter>
    <firstFooter xml:space="preserve">&amp;LIntern </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2B40C80937090747B3F9624AF415C24D" ma:contentTypeVersion="4" ma:contentTypeDescription="Create a new document." ma:contentTypeScope="" ma:versionID="d9f8116276d115230c46bada205d20b2">
  <xsd:schema xmlns:xsd="http://www.w3.org/2001/XMLSchema" xmlns:xs="http://www.w3.org/2001/XMLSchema" xmlns:p="http://schemas.microsoft.com/office/2006/metadata/properties" xmlns:ns2="9e9df51a-a65f-4b61-8119-0d3673567cf5" targetNamespace="http://schemas.microsoft.com/office/2006/metadata/properties" ma:root="true" ma:fieldsID="ef69964781c6800cd6d7d86464fe49f9" ns2:_="">
    <xsd:import namespace="9e9df51a-a65f-4b61-8119-0d3673567cf5"/>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e9df51a-a65f-4b61-8119-0d3673567c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2EEA91B-B504-43CD-A54D-4459802A7E66}">
  <ds:schemaRefs>
    <ds:schemaRef ds:uri="http://schemas.microsoft.com/DataMashup"/>
  </ds:schemaRefs>
</ds:datastoreItem>
</file>

<file path=customXml/itemProps2.xml><?xml version="1.0" encoding="utf-8"?>
<ds:datastoreItem xmlns:ds="http://schemas.openxmlformats.org/officeDocument/2006/customXml" ds:itemID="{286D8579-7911-4E29-AB24-C86E9447D3FF}"/>
</file>

<file path=customXml/itemProps3.xml><?xml version="1.0" encoding="utf-8"?>
<ds:datastoreItem xmlns:ds="http://schemas.openxmlformats.org/officeDocument/2006/customXml" ds:itemID="{1E28E66B-797A-4270-9787-EDE5FE2D8F63}"/>
</file>

<file path=customXml/itemProps4.xml><?xml version="1.0" encoding="utf-8"?>
<ds:datastoreItem xmlns:ds="http://schemas.openxmlformats.org/officeDocument/2006/customXml" ds:itemID="{C45F7E83-7B42-4E37-BB0A-CE5F4094DB7B}"/>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81</vt:i4>
      </vt:variant>
    </vt:vector>
  </HeadingPairs>
  <TitlesOfParts>
    <vt:vector size="92" baseType="lpstr">
      <vt:lpstr>DB GIF</vt:lpstr>
      <vt:lpstr>Angebotsdatnblatt VCG</vt:lpstr>
      <vt:lpstr>Angebotsdatenblatt VTG</vt:lpstr>
      <vt:lpstr>Angebotsdatenblatt CTG</vt:lpstr>
      <vt:lpstr>DB-Versionen</vt:lpstr>
      <vt:lpstr>Revisionen</vt:lpstr>
      <vt:lpstr>Auswahlfelder</vt:lpstr>
      <vt:lpstr>Modellliste</vt:lpstr>
      <vt:lpstr>Isolatoren</vt:lpstr>
      <vt:lpstr>bedingte Auswahlfelder</vt:lpstr>
      <vt:lpstr>Translation</vt:lpstr>
      <vt:lpstr>A</vt:lpstr>
      <vt:lpstr>Analogsignal</vt:lpstr>
      <vt:lpstr>Antwort_J</vt:lpstr>
      <vt:lpstr>Antwort_N</vt:lpstr>
      <vt:lpstr>Anzahl</vt:lpstr>
      <vt:lpstr>Art_DW_Kontakte</vt:lpstr>
      <vt:lpstr>Auftraggeber</vt:lpstr>
      <vt:lpstr>B</vt:lpstr>
      <vt:lpstr>Beilage</vt:lpstr>
      <vt:lpstr>Betriebsspannung</vt:lpstr>
      <vt:lpstr>BI</vt:lpstr>
      <vt:lpstr>Biege</vt:lpstr>
      <vt:lpstr>Biegefestigkeit</vt:lpstr>
      <vt:lpstr>BIL</vt:lpstr>
      <vt:lpstr>Bürden</vt:lpstr>
      <vt:lpstr>Chopp</vt:lpstr>
      <vt:lpstr>Chopped</vt:lpstr>
      <vt:lpstr>D</vt:lpstr>
      <vt:lpstr>Dichtewächter</vt:lpstr>
      <vt:lpstr>Druckangabe_LS</vt:lpstr>
      <vt:lpstr>Druckbehälter</vt:lpstr>
      <vt:lpstr>'DB GIF'!Druckbereich</vt:lpstr>
      <vt:lpstr>'DB GIF'!Drucktitel</vt:lpstr>
      <vt:lpstr>Druckventil</vt:lpstr>
      <vt:lpstr>DW_Hersteller</vt:lpstr>
      <vt:lpstr>Eichung</vt:lpstr>
      <vt:lpstr>Endkunden</vt:lpstr>
      <vt:lpstr>Erdung</vt:lpstr>
      <vt:lpstr>Erdungsanschluß</vt:lpstr>
      <vt:lpstr>Farbe</vt:lpstr>
      <vt:lpstr>Farben</vt:lpstr>
      <vt:lpstr>Frequenz</vt:lpstr>
      <vt:lpstr>Fülldrücke</vt:lpstr>
      <vt:lpstr>Genuigkeitsklassen_Kerne</vt:lpstr>
      <vt:lpstr>GroßX</vt:lpstr>
      <vt:lpstr>Gruppe</vt:lpstr>
      <vt:lpstr>Hilfsschalter</vt:lpstr>
      <vt:lpstr>Isolatorhersteller</vt:lpstr>
      <vt:lpstr>Kabelverschraubungen</vt:lpstr>
      <vt:lpstr>Kali</vt:lpstr>
      <vt:lpstr>Klemmen</vt:lpstr>
      <vt:lpstr>Klemmen_DW</vt:lpstr>
      <vt:lpstr>Klemmenkastenart</vt:lpstr>
      <vt:lpstr>Klemmentyp</vt:lpstr>
      <vt:lpstr>Kriechweg_err</vt:lpstr>
      <vt:lpstr>Kunde</vt:lpstr>
      <vt:lpstr>Länder</vt:lpstr>
      <vt:lpstr>LS</vt:lpstr>
      <vt:lpstr>Material</vt:lpstr>
      <vt:lpstr>Meßbereich</vt:lpstr>
      <vt:lpstr>Modelle</vt:lpstr>
      <vt:lpstr>Modellliste</vt:lpstr>
      <vt:lpstr>Negativ</vt:lpstr>
      <vt:lpstr>Neigung</vt:lpstr>
      <vt:lpstr>Norm</vt:lpstr>
      <vt:lpstr>Norm_Genauigkeitsklasse</vt:lpstr>
      <vt:lpstr>Normen</vt:lpstr>
      <vt:lpstr>Oberfläche</vt:lpstr>
      <vt:lpstr>Oberflächenschutz</vt:lpstr>
      <vt:lpstr>p.a.</vt:lpstr>
      <vt:lpstr>Position</vt:lpstr>
      <vt:lpstr>Positiv</vt:lpstr>
      <vt:lpstr>Primär</vt:lpstr>
      <vt:lpstr>Primäranschluß</vt:lpstr>
      <vt:lpstr>Produkts</vt:lpstr>
      <vt:lpstr>Projektkategorie</vt:lpstr>
      <vt:lpstr>Prüfwechselsannung_sek</vt:lpstr>
      <vt:lpstr>Prüfwechselspannung</vt:lpstr>
      <vt:lpstr>Schaltkontakte</vt:lpstr>
      <vt:lpstr>Schlagweite</vt:lpstr>
      <vt:lpstr>sek_strom</vt:lpstr>
      <vt:lpstr>SF6_Anteil</vt:lpstr>
      <vt:lpstr>Sicherungen</vt:lpstr>
      <vt:lpstr>SIL</vt:lpstr>
      <vt:lpstr>Sprachen</vt:lpstr>
      <vt:lpstr>Stehwechsel</vt:lpstr>
      <vt:lpstr>Stoßzahl</vt:lpstr>
      <vt:lpstr>Umschaltung</vt:lpstr>
      <vt:lpstr>Verschaltun</vt:lpstr>
      <vt:lpstr>Verschmutzungklasse</vt:lpstr>
      <vt:lpstr>X</vt:lpstr>
    </vt:vector>
  </TitlesOfParts>
  <Company>Siemens AG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andreas.karl@trenchgroup.com</dc:creator>
  <cp:keywords>C_Restricted</cp:keywords>
  <cp:lastModifiedBy>Selloum, Youssef</cp:lastModifiedBy>
  <cp:lastPrinted>2024-05-08T12:27:12Z</cp:lastPrinted>
  <dcterms:created xsi:type="dcterms:W3CDTF">2012-10-19T10:18:09Z</dcterms:created>
  <dcterms:modified xsi:type="dcterms:W3CDTF">2024-10-24T08:29:55Z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-1378229395</vt:i4>
  </property>
  <property fmtid="{D5CDD505-2E9C-101B-9397-08002B2CF9AE}" pid="3" name="_NewReviewCycle">
    <vt:lpwstr/>
  </property>
  <property fmtid="{D5CDD505-2E9C-101B-9397-08002B2CF9AE}" pid="4" name="_EmailSubject">
    <vt:lpwstr>datenblatt</vt:lpwstr>
  </property>
  <property fmtid="{D5CDD505-2E9C-101B-9397-08002B2CF9AE}" pid="5" name="_AuthorEmail">
    <vt:lpwstr>Roland.Hoefner@trench-group.com</vt:lpwstr>
  </property>
  <property fmtid="{D5CDD505-2E9C-101B-9397-08002B2CF9AE}" pid="6" name="_AuthorEmailDisplayName">
    <vt:lpwstr>Hoefner, Roland</vt:lpwstr>
  </property>
  <property fmtid="{D5CDD505-2E9C-101B-9397-08002B2CF9AE}" pid="7" name="Document Confidentiality">
    <vt:lpwstr>Restricted</vt:lpwstr>
  </property>
  <property fmtid="{D5CDD505-2E9C-101B-9397-08002B2CF9AE}" pid="8" name="_PreviousAdHocReviewCycleID">
    <vt:i4>211769390</vt:i4>
  </property>
  <property fmtid="{D5CDD505-2E9C-101B-9397-08002B2CF9AE}" pid="9" name="_ReviewingToolsShownOnce">
    <vt:lpwstr/>
  </property>
  <property fmtid="{D5CDD505-2E9C-101B-9397-08002B2CF9AE}" pid="10" name="Document_Confidentiality">
    <vt:lpwstr>Restricted</vt:lpwstr>
  </property>
  <property fmtid="{D5CDD505-2E9C-101B-9397-08002B2CF9AE}" pid="11" name="MSIP_Label_36791f77-3d39-4d72-9277-ac879ec799ed_Enabled">
    <vt:lpwstr>true</vt:lpwstr>
  </property>
  <property fmtid="{D5CDD505-2E9C-101B-9397-08002B2CF9AE}" pid="12" name="MSIP_Label_36791f77-3d39-4d72-9277-ac879ec799ed_SetDate">
    <vt:lpwstr>2022-06-22T08:41:08Z</vt:lpwstr>
  </property>
  <property fmtid="{D5CDD505-2E9C-101B-9397-08002B2CF9AE}" pid="13" name="MSIP_Label_36791f77-3d39-4d72-9277-ac879ec799ed_Method">
    <vt:lpwstr>Standard</vt:lpwstr>
  </property>
  <property fmtid="{D5CDD505-2E9C-101B-9397-08002B2CF9AE}" pid="14" name="MSIP_Label_36791f77-3d39-4d72-9277-ac879ec799ed_Name">
    <vt:lpwstr>restricted-default</vt:lpwstr>
  </property>
  <property fmtid="{D5CDD505-2E9C-101B-9397-08002B2CF9AE}" pid="15" name="MSIP_Label_36791f77-3d39-4d72-9277-ac879ec799ed_SiteId">
    <vt:lpwstr>254ba93e-1f6f-48f3-90e6-e2766664b477</vt:lpwstr>
  </property>
  <property fmtid="{D5CDD505-2E9C-101B-9397-08002B2CF9AE}" pid="16" name="MSIP_Label_36791f77-3d39-4d72-9277-ac879ec799ed_ActionId">
    <vt:lpwstr>61f97b41-393c-4798-928c-7cae09bf6271</vt:lpwstr>
  </property>
  <property fmtid="{D5CDD505-2E9C-101B-9397-08002B2CF9AE}" pid="17" name="MSIP_Label_36791f77-3d39-4d72-9277-ac879ec799ed_ContentBits">
    <vt:lpwstr>0</vt:lpwstr>
  </property>
  <property fmtid="{D5CDD505-2E9C-101B-9397-08002B2CF9AE}" pid="18" name="MSIP_Label_defa4170-0d19-0005-0004-bc88714345d2_Enabled">
    <vt:lpwstr>true</vt:lpwstr>
  </property>
  <property fmtid="{D5CDD505-2E9C-101B-9397-08002B2CF9AE}" pid="19" name="MSIP_Label_defa4170-0d19-0005-0004-bc88714345d2_SetDate">
    <vt:lpwstr>2024-10-23T14:03:34Z</vt:lpwstr>
  </property>
  <property fmtid="{D5CDD505-2E9C-101B-9397-08002B2CF9AE}" pid="20" name="MSIP_Label_defa4170-0d19-0005-0004-bc88714345d2_Method">
    <vt:lpwstr>Standard</vt:lpwstr>
  </property>
  <property fmtid="{D5CDD505-2E9C-101B-9397-08002B2CF9AE}" pid="21" name="MSIP_Label_defa4170-0d19-0005-0004-bc88714345d2_Name">
    <vt:lpwstr>defa4170-0d19-0005-0004-bc88714345d2</vt:lpwstr>
  </property>
  <property fmtid="{D5CDD505-2E9C-101B-9397-08002B2CF9AE}" pid="22" name="MSIP_Label_defa4170-0d19-0005-0004-bc88714345d2_SiteId">
    <vt:lpwstr>a897258f-fb7d-467b-94e8-ce75c83e8ce6</vt:lpwstr>
  </property>
  <property fmtid="{D5CDD505-2E9C-101B-9397-08002B2CF9AE}" pid="23" name="MSIP_Label_defa4170-0d19-0005-0004-bc88714345d2_ActionId">
    <vt:lpwstr>7c83bb07-b107-42f9-9f62-d408f414d583</vt:lpwstr>
  </property>
  <property fmtid="{D5CDD505-2E9C-101B-9397-08002B2CF9AE}" pid="24" name="MSIP_Label_defa4170-0d19-0005-0004-bc88714345d2_ContentBits">
    <vt:lpwstr>0</vt:lpwstr>
  </property>
  <property fmtid="{D5CDD505-2E9C-101B-9397-08002B2CF9AE}" pid="25" name="ContentTypeId">
    <vt:lpwstr>0x0101002B40C80937090747B3F9624AF415C24D</vt:lpwstr>
  </property>
</Properties>
</file>